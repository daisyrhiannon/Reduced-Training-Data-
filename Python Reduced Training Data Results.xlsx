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p24db\Documents\Python\Reduced Training Data\"/>
    </mc:Choice>
  </mc:AlternateContent>
  <xr:revisionPtr revIDLastSave="0" documentId="13_ncr:1_{A761FA0D-9BDD-4AB7-AF13-B8811F510A9C}" xr6:coauthVersionLast="47" xr6:coauthVersionMax="47" xr10:uidLastSave="{00000000-0000-0000-0000-000000000000}"/>
  <bookViews>
    <workbookView xWindow="-38520" yWindow="-3645" windowWidth="38640" windowHeight="21120" activeTab="1" xr2:uid="{19C7D15D-E830-43C1-9EED-066C80D1A608}"/>
  </bookViews>
  <sheets>
    <sheet name="Sheet1" sheetId="1" r:id="rId1"/>
    <sheet name="Seed 21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2" l="1"/>
  <c r="E50" i="2"/>
  <c r="E51" i="2"/>
  <c r="E52" i="2"/>
  <c r="E53" i="2"/>
  <c r="E48" i="2"/>
  <c r="E43" i="2"/>
  <c r="E42" i="2"/>
  <c r="E41" i="2"/>
  <c r="E40" i="2"/>
  <c r="E39" i="2"/>
  <c r="E38" i="2"/>
  <c r="E37" i="2"/>
  <c r="E36" i="2"/>
  <c r="E35" i="2"/>
  <c r="E34" i="2"/>
  <c r="E33" i="2"/>
  <c r="E27" i="2"/>
  <c r="E26" i="2"/>
  <c r="E25" i="2"/>
  <c r="E24" i="2"/>
  <c r="E28" i="2"/>
  <c r="E19" i="2"/>
  <c r="E20" i="2"/>
  <c r="E21" i="2"/>
  <c r="E22" i="2"/>
  <c r="E23" i="2"/>
  <c r="E18" i="2"/>
  <c r="E9" i="2"/>
  <c r="E11" i="2"/>
  <c r="E10" i="2"/>
  <c r="E12" i="2"/>
  <c r="E13" i="2"/>
  <c r="E6" i="2"/>
  <c r="E7" i="2"/>
  <c r="E8" i="2"/>
  <c r="E5" i="2"/>
  <c r="E4" i="2"/>
  <c r="Q73" i="1"/>
  <c r="Q74" i="1"/>
  <c r="Q75" i="1"/>
  <c r="Q71" i="1"/>
  <c r="Q72" i="1"/>
  <c r="Q70" i="1"/>
  <c r="Q69" i="1"/>
  <c r="Q68" i="1"/>
  <c r="Q63" i="1"/>
  <c r="Q62" i="1"/>
  <c r="Q61" i="1"/>
  <c r="Q60" i="1"/>
  <c r="Q64" i="1"/>
  <c r="Q58" i="1"/>
  <c r="Q59" i="1"/>
  <c r="Q55" i="1"/>
  <c r="Q54" i="1"/>
  <c r="Q56" i="1"/>
  <c r="Q57" i="1"/>
  <c r="Q53" i="1"/>
  <c r="Q48" i="1"/>
  <c r="Q47" i="1"/>
  <c r="Q49" i="1"/>
  <c r="Q45" i="1"/>
  <c r="Q46" i="1"/>
  <c r="Q44" i="1"/>
  <c r="Q43" i="1"/>
  <c r="Q40" i="1"/>
  <c r="Q41" i="1"/>
  <c r="Q42" i="1"/>
  <c r="Q39" i="1"/>
  <c r="Q32" i="1"/>
  <c r="Q33" i="1"/>
  <c r="Q34" i="1"/>
  <c r="Q31" i="1"/>
  <c r="E31" i="1"/>
  <c r="E32" i="1"/>
  <c r="E33" i="1"/>
  <c r="E34" i="1"/>
  <c r="E35" i="1"/>
  <c r="E36" i="1"/>
  <c r="E37" i="1"/>
  <c r="E38" i="1"/>
  <c r="Q27" i="1"/>
  <c r="Q25" i="1"/>
  <c r="Q24" i="1"/>
  <c r="Q26" i="1"/>
  <c r="Q23" i="1"/>
  <c r="Q22" i="1"/>
  <c r="Q21" i="1"/>
  <c r="Q18" i="1"/>
  <c r="Q19" i="1"/>
  <c r="Q20" i="1"/>
  <c r="Q17" i="1"/>
  <c r="E24" i="1"/>
  <c r="E26" i="1"/>
  <c r="E27" i="1"/>
  <c r="E25" i="1"/>
  <c r="E23" i="1"/>
  <c r="E22" i="1"/>
  <c r="E19" i="1"/>
  <c r="E20" i="1"/>
  <c r="E21" i="1"/>
  <c r="E18" i="1"/>
  <c r="E17" i="1"/>
  <c r="Q12" i="1"/>
  <c r="Q11" i="1"/>
  <c r="Q10" i="1"/>
  <c r="Q9" i="1"/>
  <c r="E12" i="1"/>
  <c r="E11" i="1"/>
  <c r="E13" i="1"/>
  <c r="Q7" i="1"/>
  <c r="Q8" i="1"/>
  <c r="E7" i="1"/>
  <c r="E8" i="1"/>
  <c r="E9" i="1"/>
  <c r="E10" i="1"/>
  <c r="Q6" i="1"/>
  <c r="Q5" i="1"/>
  <c r="E6" i="1"/>
  <c r="E5" i="1"/>
</calcChain>
</file>

<file path=xl/sharedStrings.xml><?xml version="1.0" encoding="utf-8"?>
<sst xmlns="http://schemas.openxmlformats.org/spreadsheetml/2006/main" count="152" uniqueCount="19">
  <si>
    <t xml:space="preserve">number pulled </t>
  </si>
  <si>
    <t xml:space="preserve">number of training data points used </t>
  </si>
  <si>
    <t xml:space="preserve">run time (s) </t>
  </si>
  <si>
    <t xml:space="preserve">NMSE </t>
  </si>
  <si>
    <t xml:space="preserve">Model </t>
  </si>
  <si>
    <t xml:space="preserve">Seed </t>
  </si>
  <si>
    <t xml:space="preserve">Black </t>
  </si>
  <si>
    <t>Grey</t>
  </si>
  <si>
    <t xml:space="preserve">Grey </t>
  </si>
  <si>
    <t xml:space="preserve">Grey - Periodic </t>
  </si>
  <si>
    <t>Seed</t>
  </si>
  <si>
    <t xml:space="preserve">N pulled </t>
  </si>
  <si>
    <t xml:space="preserve">N train </t>
  </si>
  <si>
    <t xml:space="preserve">Time </t>
  </si>
  <si>
    <t xml:space="preserve">Black 1 </t>
  </si>
  <si>
    <t xml:space="preserve">Black 2 </t>
  </si>
  <si>
    <t>Note that for these tests, #fig.show for ease</t>
  </si>
  <si>
    <t>Grey  1</t>
  </si>
  <si>
    <t xml:space="preserve">Grey 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</si>
</sst>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D8C9-EF3E-4709-AB98-C706ED400A04}">
  <dimension ref="B4:S75"/>
  <sheetViews>
    <sheetView workbookViewId="0">
      <selection activeCell="S49" sqref="N39:S49"/>
    </sheetView>
  </sheetViews>
  <sheetFormatPr defaultRowHeight="15" x14ac:dyDescent="0.25"/>
  <cols>
    <col min="4" max="4" width="24.42578125" customWidth="1"/>
    <col min="5" max="5" width="38.7109375" customWidth="1"/>
    <col min="6" max="6" width="15.5703125" customWidth="1"/>
    <col min="7" max="7" width="25.85546875" customWidth="1"/>
    <col min="14" max="14" width="14.85546875" customWidth="1"/>
    <col min="15" max="15" width="12.5703125" customWidth="1"/>
    <col min="16" max="16" width="22.5703125" customWidth="1"/>
    <col min="17" max="17" width="32.85546875" customWidth="1"/>
    <col min="18" max="18" width="23.28515625" customWidth="1"/>
    <col min="19" max="19" width="21" customWidth="1"/>
  </cols>
  <sheetData>
    <row r="4" spans="2:19" x14ac:dyDescent="0.25">
      <c r="B4" t="s">
        <v>4</v>
      </c>
      <c r="C4" t="s">
        <v>5</v>
      </c>
      <c r="D4" t="s">
        <v>0</v>
      </c>
      <c r="E4" t="s">
        <v>1</v>
      </c>
      <c r="F4" t="s">
        <v>2</v>
      </c>
      <c r="G4" t="s">
        <v>3</v>
      </c>
      <c r="N4" t="s">
        <v>4</v>
      </c>
      <c r="O4" t="s">
        <v>5</v>
      </c>
      <c r="P4" t="s">
        <v>0</v>
      </c>
      <c r="Q4" t="s">
        <v>1</v>
      </c>
      <c r="R4" t="s">
        <v>2</v>
      </c>
      <c r="S4" t="s">
        <v>3</v>
      </c>
    </row>
    <row r="5" spans="2:19" x14ac:dyDescent="0.25">
      <c r="B5" t="s">
        <v>6</v>
      </c>
      <c r="C5">
        <v>21</v>
      </c>
      <c r="D5">
        <v>0</v>
      </c>
      <c r="E5">
        <f>100-D5</f>
        <v>100</v>
      </c>
      <c r="F5">
        <v>2.8491209999999998</v>
      </c>
      <c r="G5">
        <v>0.61990942208815802</v>
      </c>
      <c r="N5" t="s">
        <v>7</v>
      </c>
      <c r="O5">
        <v>21</v>
      </c>
      <c r="P5">
        <v>0</v>
      </c>
      <c r="Q5">
        <f>100-P5</f>
        <v>100</v>
      </c>
      <c r="R5">
        <v>4.7569220000000003</v>
      </c>
      <c r="S5">
        <v>1.18196923874697</v>
      </c>
    </row>
    <row r="6" spans="2:19" x14ac:dyDescent="0.25">
      <c r="B6" t="s">
        <v>6</v>
      </c>
      <c r="C6">
        <v>21</v>
      </c>
      <c r="D6">
        <v>10</v>
      </c>
      <c r="E6">
        <f>100-D6</f>
        <v>90</v>
      </c>
      <c r="F6">
        <v>3.0554290000000002</v>
      </c>
      <c r="G6">
        <v>1.0857029538113501</v>
      </c>
      <c r="N6" t="s">
        <v>7</v>
      </c>
      <c r="O6">
        <v>21</v>
      </c>
      <c r="P6">
        <v>10</v>
      </c>
      <c r="Q6">
        <f>100-P6</f>
        <v>90</v>
      </c>
      <c r="R6">
        <v>4.8347040000000003</v>
      </c>
      <c r="S6">
        <v>2.2988129093756999</v>
      </c>
    </row>
    <row r="7" spans="2:19" x14ac:dyDescent="0.25">
      <c r="B7" t="s">
        <v>6</v>
      </c>
      <c r="C7">
        <v>21</v>
      </c>
      <c r="D7">
        <v>20</v>
      </c>
      <c r="E7">
        <f t="shared" ref="E7:E12" si="0">100-D7</f>
        <v>80</v>
      </c>
      <c r="F7">
        <v>2.7958639999999999</v>
      </c>
      <c r="G7">
        <v>1.4184861175346699</v>
      </c>
      <c r="N7" t="s">
        <v>7</v>
      </c>
      <c r="O7">
        <v>21</v>
      </c>
      <c r="P7">
        <v>20</v>
      </c>
      <c r="Q7">
        <f t="shared" ref="Q7:Q11" si="1">100-P7</f>
        <v>80</v>
      </c>
      <c r="R7">
        <v>4.3712910000000003</v>
      </c>
      <c r="S7">
        <v>3.6432706641207502</v>
      </c>
    </row>
    <row r="8" spans="2:19" x14ac:dyDescent="0.25">
      <c r="B8" t="s">
        <v>6</v>
      </c>
      <c r="C8">
        <v>21</v>
      </c>
      <c r="D8">
        <v>30</v>
      </c>
      <c r="E8">
        <f t="shared" si="0"/>
        <v>70</v>
      </c>
      <c r="F8">
        <v>2.6156980000000001</v>
      </c>
      <c r="G8">
        <v>0.905926415293826</v>
      </c>
      <c r="N8" t="s">
        <v>7</v>
      </c>
      <c r="O8">
        <v>21</v>
      </c>
      <c r="P8">
        <v>30</v>
      </c>
      <c r="Q8">
        <f t="shared" si="1"/>
        <v>70</v>
      </c>
      <c r="R8">
        <v>4.2547750000000004</v>
      </c>
      <c r="S8">
        <v>2.2010869898157002</v>
      </c>
    </row>
    <row r="9" spans="2:19" x14ac:dyDescent="0.25">
      <c r="B9" t="s">
        <v>6</v>
      </c>
      <c r="C9">
        <v>21</v>
      </c>
      <c r="D9">
        <v>40</v>
      </c>
      <c r="E9">
        <f t="shared" si="0"/>
        <v>60</v>
      </c>
      <c r="F9">
        <v>2.6647919999999998</v>
      </c>
      <c r="G9">
        <v>4.5529622435758501</v>
      </c>
      <c r="N9" s="1" t="s">
        <v>7</v>
      </c>
      <c r="O9" s="1">
        <v>21</v>
      </c>
      <c r="P9" s="1">
        <v>35</v>
      </c>
      <c r="Q9" s="1">
        <f t="shared" si="1"/>
        <v>65</v>
      </c>
      <c r="R9" s="1">
        <v>4.4560950000000004</v>
      </c>
      <c r="S9" s="1">
        <v>5.4760434474344102</v>
      </c>
    </row>
    <row r="10" spans="2:19" x14ac:dyDescent="0.25">
      <c r="B10" t="s">
        <v>6</v>
      </c>
      <c r="C10">
        <v>21</v>
      </c>
      <c r="D10">
        <v>45</v>
      </c>
      <c r="E10">
        <f t="shared" si="0"/>
        <v>55</v>
      </c>
      <c r="F10">
        <v>2.926647</v>
      </c>
      <c r="G10">
        <v>7.8693414801705703</v>
      </c>
      <c r="N10" t="s">
        <v>7</v>
      </c>
      <c r="O10">
        <v>21</v>
      </c>
      <c r="P10">
        <v>36</v>
      </c>
      <c r="Q10">
        <f t="shared" si="1"/>
        <v>64</v>
      </c>
      <c r="R10">
        <v>4.389259</v>
      </c>
      <c r="S10">
        <v>12.5512699754471</v>
      </c>
    </row>
    <row r="11" spans="2:19" x14ac:dyDescent="0.25">
      <c r="B11" s="1" t="s">
        <v>6</v>
      </c>
      <c r="C11" s="1">
        <v>21</v>
      </c>
      <c r="D11" s="1">
        <v>48</v>
      </c>
      <c r="E11" s="1">
        <f t="shared" si="0"/>
        <v>52</v>
      </c>
      <c r="F11" s="1">
        <v>2.6228349999999998</v>
      </c>
      <c r="G11" s="1">
        <v>8.6903235172854991</v>
      </c>
      <c r="N11" t="s">
        <v>7</v>
      </c>
      <c r="O11">
        <v>21</v>
      </c>
      <c r="P11">
        <v>37</v>
      </c>
      <c r="Q11">
        <f t="shared" si="1"/>
        <v>63</v>
      </c>
      <c r="R11">
        <v>4.3112190000000004</v>
      </c>
      <c r="S11">
        <v>16.030904908420599</v>
      </c>
    </row>
    <row r="12" spans="2:19" x14ac:dyDescent="0.25">
      <c r="B12" t="s">
        <v>6</v>
      </c>
      <c r="C12">
        <v>21</v>
      </c>
      <c r="D12">
        <v>49</v>
      </c>
      <c r="E12">
        <f t="shared" si="0"/>
        <v>51</v>
      </c>
      <c r="F12">
        <v>2.5926529999999999</v>
      </c>
      <c r="G12">
        <v>11.7831520673878</v>
      </c>
      <c r="N12" t="s">
        <v>7</v>
      </c>
      <c r="O12">
        <v>21</v>
      </c>
      <c r="P12">
        <v>40</v>
      </c>
      <c r="Q12">
        <f t="shared" ref="Q12" si="2">100-P12</f>
        <v>60</v>
      </c>
      <c r="R12">
        <v>4.1599380000000004</v>
      </c>
      <c r="S12">
        <v>23.485404923074899</v>
      </c>
    </row>
    <row r="13" spans="2:19" x14ac:dyDescent="0.25">
      <c r="B13" t="s">
        <v>6</v>
      </c>
      <c r="C13">
        <v>21</v>
      </c>
      <c r="D13">
        <v>50</v>
      </c>
      <c r="E13">
        <f t="shared" ref="E13" si="3">100-D13</f>
        <v>50</v>
      </c>
      <c r="F13">
        <v>2.4428839999999998</v>
      </c>
      <c r="G13">
        <v>11.928140429652601</v>
      </c>
    </row>
    <row r="17" spans="2:19" x14ac:dyDescent="0.25">
      <c r="B17" t="s">
        <v>6</v>
      </c>
      <c r="C17">
        <v>67</v>
      </c>
      <c r="D17">
        <v>20</v>
      </c>
      <c r="E17">
        <f>100-D17</f>
        <v>80</v>
      </c>
      <c r="F17">
        <v>3.2487699999999999</v>
      </c>
      <c r="G17">
        <v>0.69129910410225104</v>
      </c>
      <c r="N17" t="s">
        <v>8</v>
      </c>
      <c r="O17">
        <v>67</v>
      </c>
      <c r="P17">
        <v>20</v>
      </c>
      <c r="Q17">
        <f>100-P17</f>
        <v>80</v>
      </c>
      <c r="R17">
        <v>5.7112119999999997</v>
      </c>
      <c r="S17">
        <v>7.2842505714316399</v>
      </c>
    </row>
    <row r="18" spans="2:19" x14ac:dyDescent="0.25">
      <c r="B18" t="s">
        <v>6</v>
      </c>
      <c r="C18">
        <v>67</v>
      </c>
      <c r="D18">
        <v>30</v>
      </c>
      <c r="E18">
        <f>100-D18</f>
        <v>70</v>
      </c>
      <c r="F18">
        <v>3.482208</v>
      </c>
      <c r="G18">
        <v>1.1069358866452399</v>
      </c>
      <c r="N18" t="s">
        <v>8</v>
      </c>
      <c r="O18">
        <v>67</v>
      </c>
      <c r="P18">
        <v>30</v>
      </c>
      <c r="Q18">
        <f t="shared" ref="Q18:Q25" si="4">100-P18</f>
        <v>70</v>
      </c>
      <c r="R18">
        <v>5.3167619999999998</v>
      </c>
      <c r="S18">
        <v>4.9779637684256599</v>
      </c>
    </row>
    <row r="19" spans="2:19" x14ac:dyDescent="0.25">
      <c r="B19" t="s">
        <v>6</v>
      </c>
      <c r="C19">
        <v>67</v>
      </c>
      <c r="D19">
        <v>40</v>
      </c>
      <c r="E19">
        <f t="shared" ref="E19:E38" si="5">100-D19</f>
        <v>60</v>
      </c>
      <c r="F19">
        <v>3.4299849999999998</v>
      </c>
      <c r="G19">
        <v>1.18877781603857</v>
      </c>
      <c r="N19" t="s">
        <v>8</v>
      </c>
      <c r="O19">
        <v>67</v>
      </c>
      <c r="P19">
        <v>40</v>
      </c>
      <c r="Q19">
        <f t="shared" si="4"/>
        <v>60</v>
      </c>
      <c r="R19">
        <v>4.5033779999999997</v>
      </c>
      <c r="S19">
        <v>5.5834070469643802</v>
      </c>
    </row>
    <row r="20" spans="2:19" x14ac:dyDescent="0.25">
      <c r="B20" t="s">
        <v>6</v>
      </c>
      <c r="C20">
        <v>67</v>
      </c>
      <c r="D20">
        <v>50</v>
      </c>
      <c r="E20">
        <f t="shared" si="5"/>
        <v>50</v>
      </c>
      <c r="F20">
        <v>3.4058489999999999</v>
      </c>
      <c r="G20">
        <v>2.7266323328228901</v>
      </c>
      <c r="N20" t="s">
        <v>8</v>
      </c>
      <c r="O20">
        <v>67</v>
      </c>
      <c r="P20">
        <v>50</v>
      </c>
      <c r="Q20">
        <f t="shared" si="4"/>
        <v>50</v>
      </c>
      <c r="R20">
        <v>5.1953639999999996</v>
      </c>
      <c r="S20">
        <v>6.5066298978819299</v>
      </c>
    </row>
    <row r="21" spans="2:19" x14ac:dyDescent="0.25">
      <c r="B21" t="s">
        <v>6</v>
      </c>
      <c r="C21">
        <v>67</v>
      </c>
      <c r="D21">
        <v>60</v>
      </c>
      <c r="E21">
        <f t="shared" si="5"/>
        <v>40</v>
      </c>
      <c r="F21">
        <v>3.691735</v>
      </c>
      <c r="G21">
        <v>3.7693711555082201</v>
      </c>
      <c r="N21" t="s">
        <v>8</v>
      </c>
      <c r="O21">
        <v>67</v>
      </c>
      <c r="P21">
        <v>60</v>
      </c>
      <c r="Q21">
        <f t="shared" si="4"/>
        <v>40</v>
      </c>
      <c r="R21">
        <v>5.13802</v>
      </c>
      <c r="S21">
        <v>7.2577161126945002</v>
      </c>
    </row>
    <row r="22" spans="2:19" x14ac:dyDescent="0.25">
      <c r="B22" t="s">
        <v>6</v>
      </c>
      <c r="C22">
        <v>67</v>
      </c>
      <c r="D22">
        <v>70</v>
      </c>
      <c r="E22">
        <f t="shared" si="5"/>
        <v>30</v>
      </c>
      <c r="F22">
        <v>3.575536</v>
      </c>
      <c r="G22">
        <v>5.5386694347744001</v>
      </c>
      <c r="N22" t="s">
        <v>8</v>
      </c>
      <c r="O22">
        <v>67</v>
      </c>
      <c r="P22">
        <v>70</v>
      </c>
      <c r="Q22">
        <f t="shared" si="4"/>
        <v>30</v>
      </c>
      <c r="R22">
        <v>4.9762510000000004</v>
      </c>
      <c r="S22">
        <v>6.9350889929584598</v>
      </c>
    </row>
    <row r="23" spans="2:19" x14ac:dyDescent="0.25">
      <c r="B23" t="s">
        <v>6</v>
      </c>
      <c r="C23">
        <v>67</v>
      </c>
      <c r="D23">
        <v>80</v>
      </c>
      <c r="E23">
        <f t="shared" si="5"/>
        <v>20</v>
      </c>
      <c r="F23">
        <v>3.3602590000000001</v>
      </c>
      <c r="G23">
        <v>5.9031720958882801</v>
      </c>
      <c r="N23" t="s">
        <v>8</v>
      </c>
      <c r="O23">
        <v>67</v>
      </c>
      <c r="P23">
        <v>75</v>
      </c>
      <c r="Q23">
        <f t="shared" si="4"/>
        <v>25</v>
      </c>
      <c r="R23">
        <v>5.0394189999999996</v>
      </c>
      <c r="S23">
        <v>7.5579850603140803</v>
      </c>
    </row>
    <row r="24" spans="2:19" x14ac:dyDescent="0.25">
      <c r="B24" s="1" t="s">
        <v>6</v>
      </c>
      <c r="C24" s="1">
        <v>67</v>
      </c>
      <c r="D24" s="1">
        <v>83</v>
      </c>
      <c r="E24" s="1">
        <f t="shared" si="5"/>
        <v>17</v>
      </c>
      <c r="F24" s="1">
        <v>3.2616860000000001</v>
      </c>
      <c r="G24" s="1">
        <v>6.0067031799196302</v>
      </c>
      <c r="N24" t="s">
        <v>8</v>
      </c>
      <c r="O24">
        <v>67</v>
      </c>
      <c r="P24">
        <v>77</v>
      </c>
      <c r="Q24">
        <f t="shared" si="4"/>
        <v>23</v>
      </c>
      <c r="R24">
        <v>4.9568589999999997</v>
      </c>
      <c r="S24">
        <v>9.4707476754460203</v>
      </c>
    </row>
    <row r="25" spans="2:19" x14ac:dyDescent="0.25">
      <c r="B25" t="s">
        <v>6</v>
      </c>
      <c r="C25">
        <v>67</v>
      </c>
      <c r="D25">
        <v>84</v>
      </c>
      <c r="E25">
        <f t="shared" si="5"/>
        <v>16</v>
      </c>
      <c r="F25">
        <v>3.455228</v>
      </c>
      <c r="G25">
        <v>10.480366080204099</v>
      </c>
      <c r="N25" s="1" t="s">
        <v>8</v>
      </c>
      <c r="O25" s="1">
        <v>67</v>
      </c>
      <c r="P25" s="1">
        <v>78</v>
      </c>
      <c r="Q25" s="1">
        <f t="shared" si="4"/>
        <v>22</v>
      </c>
      <c r="R25" s="1">
        <v>4.947902</v>
      </c>
      <c r="S25" s="1">
        <v>9.5094374606762599</v>
      </c>
    </row>
    <row r="26" spans="2:19" x14ac:dyDescent="0.25">
      <c r="B26" t="s">
        <v>6</v>
      </c>
      <c r="C26">
        <v>67</v>
      </c>
      <c r="D26">
        <v>85</v>
      </c>
      <c r="E26">
        <f t="shared" si="5"/>
        <v>15</v>
      </c>
      <c r="F26">
        <v>3.3942190000000001</v>
      </c>
      <c r="G26">
        <v>10.693295137317101</v>
      </c>
      <c r="N26" t="s">
        <v>8</v>
      </c>
      <c r="O26">
        <v>67</v>
      </c>
      <c r="P26">
        <v>79</v>
      </c>
      <c r="Q26">
        <f t="shared" ref="Q26:Q27" si="6">100-P26</f>
        <v>21</v>
      </c>
      <c r="R26">
        <v>4.1797810000000002</v>
      </c>
      <c r="S26">
        <v>10.242175155962901</v>
      </c>
    </row>
    <row r="27" spans="2:19" x14ac:dyDescent="0.25">
      <c r="B27" t="s">
        <v>6</v>
      </c>
      <c r="C27">
        <v>67</v>
      </c>
      <c r="D27">
        <v>90</v>
      </c>
      <c r="E27">
        <f t="shared" si="5"/>
        <v>10</v>
      </c>
      <c r="F27">
        <v>3.3427410000000002</v>
      </c>
      <c r="G27">
        <v>20.1677495298506</v>
      </c>
      <c r="N27" t="s">
        <v>8</v>
      </c>
      <c r="O27">
        <v>67</v>
      </c>
      <c r="P27">
        <v>80</v>
      </c>
      <c r="Q27">
        <f t="shared" si="6"/>
        <v>20</v>
      </c>
      <c r="R27">
        <v>5.0800890000000001</v>
      </c>
      <c r="S27">
        <v>17.1032370768324</v>
      </c>
    </row>
    <row r="31" spans="2:19" x14ac:dyDescent="0.25">
      <c r="B31" t="s">
        <v>6</v>
      </c>
      <c r="C31">
        <v>273</v>
      </c>
      <c r="D31">
        <v>20</v>
      </c>
      <c r="E31">
        <f t="shared" si="5"/>
        <v>80</v>
      </c>
      <c r="F31">
        <v>3.4166850000000002</v>
      </c>
      <c r="G31">
        <v>0.69516535308817295</v>
      </c>
      <c r="N31" t="s">
        <v>7</v>
      </c>
      <c r="O31">
        <v>273</v>
      </c>
      <c r="P31">
        <v>20</v>
      </c>
      <c r="Q31">
        <f>100-P31</f>
        <v>80</v>
      </c>
      <c r="R31">
        <v>5.3928640000000003</v>
      </c>
      <c r="S31">
        <v>2.2598119140575199</v>
      </c>
    </row>
    <row r="32" spans="2:19" x14ac:dyDescent="0.25">
      <c r="B32" t="s">
        <v>6</v>
      </c>
      <c r="C32">
        <v>273</v>
      </c>
      <c r="D32">
        <v>30</v>
      </c>
      <c r="E32">
        <f t="shared" si="5"/>
        <v>70</v>
      </c>
      <c r="F32">
        <v>3.493706</v>
      </c>
      <c r="G32">
        <v>0.99785228403622295</v>
      </c>
      <c r="N32" s="1" t="s">
        <v>7</v>
      </c>
      <c r="O32" s="1">
        <v>273</v>
      </c>
      <c r="P32" s="1">
        <v>25</v>
      </c>
      <c r="Q32" s="1">
        <f t="shared" ref="Q32:Q34" si="7">100-P32</f>
        <v>75</v>
      </c>
      <c r="R32" s="1">
        <v>5.2150619999999996</v>
      </c>
      <c r="S32" s="1">
        <v>3.91802615221803</v>
      </c>
    </row>
    <row r="33" spans="2:19" x14ac:dyDescent="0.25">
      <c r="B33" t="s">
        <v>6</v>
      </c>
      <c r="C33">
        <v>273</v>
      </c>
      <c r="D33">
        <v>40</v>
      </c>
      <c r="E33">
        <f t="shared" si="5"/>
        <v>60</v>
      </c>
      <c r="F33">
        <v>3.4669599999999998</v>
      </c>
      <c r="G33">
        <v>1.5542077493008799</v>
      </c>
      <c r="N33" t="s">
        <v>7</v>
      </c>
      <c r="O33">
        <v>273</v>
      </c>
      <c r="P33">
        <v>26</v>
      </c>
      <c r="Q33">
        <f t="shared" si="7"/>
        <v>74</v>
      </c>
      <c r="R33">
        <v>5.4026899999999998</v>
      </c>
      <c r="S33">
        <v>13.477544804007399</v>
      </c>
    </row>
    <row r="34" spans="2:19" x14ac:dyDescent="0.25">
      <c r="B34" t="s">
        <v>6</v>
      </c>
      <c r="C34">
        <v>273</v>
      </c>
      <c r="D34">
        <v>50</v>
      </c>
      <c r="E34">
        <f t="shared" si="5"/>
        <v>50</v>
      </c>
      <c r="F34">
        <v>3.5209009999999998</v>
      </c>
      <c r="G34">
        <v>4.3247808644527996</v>
      </c>
      <c r="N34" t="s">
        <v>7</v>
      </c>
      <c r="O34">
        <v>273</v>
      </c>
      <c r="P34">
        <v>27</v>
      </c>
      <c r="Q34">
        <f t="shared" si="7"/>
        <v>73</v>
      </c>
      <c r="R34">
        <v>5.2237140000000002</v>
      </c>
      <c r="S34">
        <v>12.254725152983999</v>
      </c>
    </row>
    <row r="35" spans="2:19" x14ac:dyDescent="0.25">
      <c r="B35" s="1" t="s">
        <v>6</v>
      </c>
      <c r="C35" s="1">
        <v>273</v>
      </c>
      <c r="D35" s="1">
        <v>53</v>
      </c>
      <c r="E35" s="1">
        <f t="shared" si="5"/>
        <v>47</v>
      </c>
      <c r="F35" s="1">
        <v>3.6453669999999998</v>
      </c>
      <c r="G35" s="1">
        <v>8.8747748463273997</v>
      </c>
    </row>
    <row r="36" spans="2:19" x14ac:dyDescent="0.25">
      <c r="B36" t="s">
        <v>6</v>
      </c>
      <c r="C36">
        <v>273</v>
      </c>
      <c r="D36">
        <v>54</v>
      </c>
      <c r="E36">
        <f t="shared" si="5"/>
        <v>46</v>
      </c>
      <c r="F36">
        <v>3.4838770000000001</v>
      </c>
      <c r="G36">
        <v>16.367180013426299</v>
      </c>
    </row>
    <row r="37" spans="2:19" x14ac:dyDescent="0.25">
      <c r="B37" t="s">
        <v>6</v>
      </c>
      <c r="C37">
        <v>273</v>
      </c>
      <c r="D37">
        <v>55</v>
      </c>
      <c r="E37">
        <f t="shared" si="5"/>
        <v>45</v>
      </c>
      <c r="F37">
        <v>3.438688</v>
      </c>
      <c r="G37">
        <v>14.9658611276532</v>
      </c>
    </row>
    <row r="38" spans="2:19" x14ac:dyDescent="0.25">
      <c r="B38" t="s">
        <v>6</v>
      </c>
      <c r="C38">
        <v>273</v>
      </c>
      <c r="D38">
        <v>60</v>
      </c>
      <c r="E38">
        <f t="shared" si="5"/>
        <v>40</v>
      </c>
      <c r="F38">
        <v>2.5063580000000001</v>
      </c>
      <c r="G38">
        <v>29.667021738965399</v>
      </c>
    </row>
    <row r="39" spans="2:19" x14ac:dyDescent="0.25">
      <c r="N39" t="s">
        <v>9</v>
      </c>
      <c r="O39">
        <v>21</v>
      </c>
      <c r="P39">
        <v>20</v>
      </c>
      <c r="Q39">
        <f>100-P39</f>
        <v>80</v>
      </c>
      <c r="R39">
        <v>4.7831489999999999</v>
      </c>
      <c r="S39">
        <v>0.99760904681600104</v>
      </c>
    </row>
    <row r="40" spans="2:19" x14ac:dyDescent="0.25">
      <c r="N40" t="s">
        <v>9</v>
      </c>
      <c r="O40">
        <v>21</v>
      </c>
      <c r="P40">
        <v>30</v>
      </c>
      <c r="Q40">
        <f t="shared" ref="Q40:Q42" si="8">100-P40</f>
        <v>70</v>
      </c>
      <c r="R40">
        <v>4.5763590000000001</v>
      </c>
      <c r="S40">
        <v>1.0065346515301701</v>
      </c>
    </row>
    <row r="41" spans="2:19" x14ac:dyDescent="0.25">
      <c r="N41" t="s">
        <v>9</v>
      </c>
      <c r="O41">
        <v>21</v>
      </c>
      <c r="P41">
        <v>40</v>
      </c>
      <c r="Q41">
        <f t="shared" si="8"/>
        <v>60</v>
      </c>
      <c r="R41">
        <v>5.4477669999999998</v>
      </c>
      <c r="S41">
        <v>0.89126402988916698</v>
      </c>
    </row>
    <row r="42" spans="2:19" x14ac:dyDescent="0.25">
      <c r="N42" t="s">
        <v>9</v>
      </c>
      <c r="O42">
        <v>21</v>
      </c>
      <c r="P42">
        <v>50</v>
      </c>
      <c r="Q42">
        <f t="shared" si="8"/>
        <v>50</v>
      </c>
      <c r="R42">
        <v>5.7633320000000001</v>
      </c>
      <c r="S42">
        <v>2.37809584047148</v>
      </c>
    </row>
    <row r="43" spans="2:19" x14ac:dyDescent="0.25">
      <c r="N43" t="s">
        <v>9</v>
      </c>
      <c r="O43">
        <v>21</v>
      </c>
      <c r="P43">
        <v>60</v>
      </c>
      <c r="Q43">
        <f>100-P43</f>
        <v>40</v>
      </c>
      <c r="R43">
        <v>5.2267419999999998</v>
      </c>
      <c r="S43">
        <v>3.1265392961331799</v>
      </c>
    </row>
    <row r="44" spans="2:19" x14ac:dyDescent="0.25">
      <c r="N44" t="s">
        <v>9</v>
      </c>
      <c r="O44">
        <v>21</v>
      </c>
      <c r="P44">
        <v>70</v>
      </c>
      <c r="Q44">
        <f>100-P44</f>
        <v>30</v>
      </c>
      <c r="R44">
        <v>5.1972909999999999</v>
      </c>
      <c r="S44">
        <v>6.1579006351889296</v>
      </c>
    </row>
    <row r="45" spans="2:19" x14ac:dyDescent="0.25">
      <c r="N45" t="s">
        <v>9</v>
      </c>
      <c r="O45">
        <v>21</v>
      </c>
      <c r="P45">
        <v>75</v>
      </c>
      <c r="Q45">
        <f>100-P45</f>
        <v>25</v>
      </c>
      <c r="R45">
        <v>5.1765559999999997</v>
      </c>
      <c r="S45">
        <v>7.2529884583681898</v>
      </c>
    </row>
    <row r="46" spans="2:19" x14ac:dyDescent="0.25">
      <c r="N46" t="s">
        <v>9</v>
      </c>
      <c r="O46">
        <v>21</v>
      </c>
      <c r="P46">
        <v>77</v>
      </c>
      <c r="Q46">
        <f>100-P46</f>
        <v>23</v>
      </c>
      <c r="R46">
        <v>5.114509</v>
      </c>
      <c r="S46">
        <v>9.0335425073431601</v>
      </c>
    </row>
    <row r="47" spans="2:19" x14ac:dyDescent="0.25">
      <c r="N47" s="1" t="s">
        <v>9</v>
      </c>
      <c r="O47" s="1">
        <v>21</v>
      </c>
      <c r="P47" s="1">
        <v>78</v>
      </c>
      <c r="Q47" s="1">
        <f>100-P47</f>
        <v>22</v>
      </c>
      <c r="R47" s="1">
        <v>5.1010059999999999</v>
      </c>
      <c r="S47" s="1">
        <v>9.8253601474948091</v>
      </c>
    </row>
    <row r="48" spans="2:19" x14ac:dyDescent="0.25">
      <c r="N48" t="s">
        <v>9</v>
      </c>
      <c r="O48">
        <v>21</v>
      </c>
      <c r="P48">
        <v>79</v>
      </c>
      <c r="Q48">
        <f>100-P48</f>
        <v>21</v>
      </c>
      <c r="R48">
        <v>5.1766870000000003</v>
      </c>
      <c r="S48">
        <v>10.549883055164599</v>
      </c>
    </row>
    <row r="49" spans="14:19" x14ac:dyDescent="0.25">
      <c r="N49" t="s">
        <v>9</v>
      </c>
      <c r="O49">
        <v>21</v>
      </c>
      <c r="P49">
        <v>80</v>
      </c>
      <c r="Q49">
        <f>100-P49</f>
        <v>20</v>
      </c>
      <c r="R49">
        <v>5.0735060000000001</v>
      </c>
      <c r="S49">
        <v>14.3199733172543</v>
      </c>
    </row>
    <row r="53" spans="14:19" x14ac:dyDescent="0.25">
      <c r="N53" t="s">
        <v>9</v>
      </c>
      <c r="O53">
        <v>67</v>
      </c>
      <c r="P53">
        <v>20</v>
      </c>
      <c r="Q53">
        <f>100-P53</f>
        <v>80</v>
      </c>
      <c r="R53">
        <v>4.6108339999999997</v>
      </c>
      <c r="S53">
        <v>0.93373527411352097</v>
      </c>
    </row>
    <row r="54" spans="14:19" x14ac:dyDescent="0.25">
      <c r="N54" t="s">
        <v>9</v>
      </c>
      <c r="O54">
        <v>67</v>
      </c>
      <c r="P54">
        <v>30</v>
      </c>
      <c r="Q54">
        <f t="shared" ref="Q54:Q63" si="9">100-P54</f>
        <v>70</v>
      </c>
      <c r="R54">
        <v>5.4909420000000004</v>
      </c>
      <c r="S54">
        <v>0.91936023779731402</v>
      </c>
    </row>
    <row r="55" spans="14:19" x14ac:dyDescent="0.25">
      <c r="N55" t="s">
        <v>9</v>
      </c>
      <c r="O55">
        <v>67</v>
      </c>
      <c r="P55">
        <v>40</v>
      </c>
      <c r="Q55">
        <f>100-P55</f>
        <v>60</v>
      </c>
      <c r="R55">
        <v>5.3027069999999998</v>
      </c>
      <c r="S55">
        <v>0.82539401545065505</v>
      </c>
    </row>
    <row r="56" spans="14:19" x14ac:dyDescent="0.25">
      <c r="N56" t="s">
        <v>9</v>
      </c>
      <c r="O56">
        <v>67</v>
      </c>
      <c r="P56">
        <v>50</v>
      </c>
      <c r="Q56">
        <f t="shared" si="9"/>
        <v>50</v>
      </c>
      <c r="R56">
        <v>5.4244450000000004</v>
      </c>
      <c r="S56">
        <v>1.0469934304324999</v>
      </c>
    </row>
    <row r="57" spans="14:19" x14ac:dyDescent="0.25">
      <c r="N57" t="s">
        <v>9</v>
      </c>
      <c r="O57">
        <v>67</v>
      </c>
      <c r="P57">
        <v>60</v>
      </c>
      <c r="Q57">
        <f t="shared" si="9"/>
        <v>40</v>
      </c>
      <c r="R57">
        <v>4.4565200000000003</v>
      </c>
      <c r="S57">
        <v>0.77613825745051002</v>
      </c>
    </row>
    <row r="58" spans="14:19" x14ac:dyDescent="0.25">
      <c r="N58" t="s">
        <v>9</v>
      </c>
      <c r="O58">
        <v>67</v>
      </c>
      <c r="P58">
        <v>70</v>
      </c>
      <c r="Q58">
        <f t="shared" si="9"/>
        <v>30</v>
      </c>
      <c r="R58">
        <v>4.2989699999999997</v>
      </c>
      <c r="S58">
        <v>1.7114258719405899</v>
      </c>
    </row>
    <row r="59" spans="14:19" x14ac:dyDescent="0.25">
      <c r="N59" t="s">
        <v>9</v>
      </c>
      <c r="O59">
        <v>67</v>
      </c>
      <c r="P59">
        <v>80</v>
      </c>
      <c r="Q59">
        <f t="shared" si="9"/>
        <v>20</v>
      </c>
      <c r="R59">
        <v>5.0313850000000002</v>
      </c>
      <c r="S59">
        <v>3.24971676620381</v>
      </c>
    </row>
    <row r="60" spans="14:19" x14ac:dyDescent="0.25">
      <c r="N60" t="s">
        <v>9</v>
      </c>
      <c r="O60">
        <v>67</v>
      </c>
      <c r="P60">
        <v>85</v>
      </c>
      <c r="Q60">
        <f t="shared" si="9"/>
        <v>15</v>
      </c>
      <c r="R60">
        <v>5.2837909999999999</v>
      </c>
      <c r="S60">
        <v>3.16824398744181</v>
      </c>
    </row>
    <row r="61" spans="14:19" x14ac:dyDescent="0.25">
      <c r="N61" t="s">
        <v>9</v>
      </c>
      <c r="O61">
        <v>67</v>
      </c>
      <c r="P61">
        <v>87</v>
      </c>
      <c r="Q61">
        <f t="shared" si="9"/>
        <v>13</v>
      </c>
      <c r="R61">
        <v>5.0242760000000004</v>
      </c>
      <c r="S61">
        <v>4.5918585161555301</v>
      </c>
    </row>
    <row r="62" spans="14:19" x14ac:dyDescent="0.25">
      <c r="N62" s="1" t="s">
        <v>9</v>
      </c>
      <c r="O62" s="1">
        <v>67</v>
      </c>
      <c r="P62" s="1">
        <v>88</v>
      </c>
      <c r="Q62" s="1">
        <f t="shared" si="9"/>
        <v>12</v>
      </c>
      <c r="R62" s="1">
        <v>5.1768099999999997</v>
      </c>
      <c r="S62" s="1">
        <v>4.8452502257911698</v>
      </c>
    </row>
    <row r="63" spans="14:19" x14ac:dyDescent="0.25">
      <c r="N63" t="s">
        <v>9</v>
      </c>
      <c r="O63">
        <v>67</v>
      </c>
      <c r="P63">
        <v>89</v>
      </c>
      <c r="Q63">
        <f t="shared" si="9"/>
        <v>11</v>
      </c>
      <c r="R63">
        <v>4.1255280000000001</v>
      </c>
      <c r="S63">
        <v>10.2001333564059</v>
      </c>
    </row>
    <row r="64" spans="14:19" x14ac:dyDescent="0.25">
      <c r="N64" t="s">
        <v>9</v>
      </c>
      <c r="O64">
        <v>67</v>
      </c>
      <c r="P64">
        <v>90</v>
      </c>
      <c r="Q64">
        <f>100-P64</f>
        <v>10</v>
      </c>
      <c r="R64">
        <v>4.1121280000000002</v>
      </c>
      <c r="S64">
        <v>28.014397210136899</v>
      </c>
    </row>
    <row r="68" spans="14:19" x14ac:dyDescent="0.25">
      <c r="N68" t="s">
        <v>9</v>
      </c>
      <c r="O68">
        <v>273</v>
      </c>
      <c r="P68">
        <v>30</v>
      </c>
      <c r="Q68">
        <f>100-P68</f>
        <v>70</v>
      </c>
      <c r="R68">
        <v>4.7129079999999997</v>
      </c>
      <c r="S68">
        <v>1.1228442947705499</v>
      </c>
    </row>
    <row r="69" spans="14:19" x14ac:dyDescent="0.25">
      <c r="N69" t="s">
        <v>9</v>
      </c>
      <c r="O69">
        <v>273</v>
      </c>
      <c r="P69">
        <v>40</v>
      </c>
      <c r="Q69">
        <f>100-P69</f>
        <v>60</v>
      </c>
      <c r="R69">
        <v>5.3871890000000002</v>
      </c>
      <c r="S69">
        <v>1.1951515114933999</v>
      </c>
    </row>
    <row r="70" spans="14:19" x14ac:dyDescent="0.25">
      <c r="N70" t="s">
        <v>9</v>
      </c>
      <c r="O70">
        <v>273</v>
      </c>
      <c r="P70">
        <v>50</v>
      </c>
      <c r="Q70">
        <f>100-P70</f>
        <v>50</v>
      </c>
      <c r="R70">
        <v>5.4421879999999998</v>
      </c>
      <c r="S70">
        <v>2.61992975582397</v>
      </c>
    </row>
    <row r="71" spans="14:19" x14ac:dyDescent="0.25">
      <c r="N71" t="s">
        <v>9</v>
      </c>
      <c r="O71">
        <v>273</v>
      </c>
      <c r="P71">
        <v>60</v>
      </c>
      <c r="Q71">
        <f t="shared" ref="Q71:Q75" si="10">100-P71</f>
        <v>40</v>
      </c>
      <c r="R71">
        <v>5.1775969999999996</v>
      </c>
      <c r="S71">
        <v>6.2457105315647201</v>
      </c>
    </row>
    <row r="72" spans="14:19" x14ac:dyDescent="0.25">
      <c r="N72" t="s">
        <v>9</v>
      </c>
      <c r="O72">
        <v>273</v>
      </c>
      <c r="P72">
        <v>70</v>
      </c>
      <c r="Q72">
        <f t="shared" si="10"/>
        <v>30</v>
      </c>
      <c r="R72">
        <v>5.296907</v>
      </c>
      <c r="S72">
        <v>9.7065036533056794</v>
      </c>
    </row>
    <row r="73" spans="14:19" x14ac:dyDescent="0.25">
      <c r="N73" s="1" t="s">
        <v>9</v>
      </c>
      <c r="O73" s="1">
        <v>273</v>
      </c>
      <c r="P73" s="1">
        <v>72</v>
      </c>
      <c r="Q73" s="1">
        <f t="shared" si="10"/>
        <v>28</v>
      </c>
      <c r="R73" s="1">
        <v>5.0749230000000001</v>
      </c>
      <c r="S73" s="1">
        <v>8.91142816553171</v>
      </c>
    </row>
    <row r="74" spans="14:19" x14ac:dyDescent="0.25">
      <c r="N74" t="s">
        <v>9</v>
      </c>
      <c r="O74">
        <v>273</v>
      </c>
      <c r="P74">
        <v>73</v>
      </c>
      <c r="Q74">
        <f t="shared" si="10"/>
        <v>27</v>
      </c>
      <c r="R74">
        <v>5.1788550000000004</v>
      </c>
      <c r="S74">
        <v>14.236889424339999</v>
      </c>
    </row>
    <row r="75" spans="14:19" x14ac:dyDescent="0.25">
      <c r="N75" t="s">
        <v>9</v>
      </c>
      <c r="O75">
        <v>273</v>
      </c>
      <c r="P75">
        <v>75</v>
      </c>
      <c r="Q75">
        <f t="shared" si="10"/>
        <v>25</v>
      </c>
      <c r="R75">
        <v>4.4363099999999998</v>
      </c>
      <c r="S75">
        <v>19.241247246239499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BCC28-49AB-4816-9D44-16BAEE3812B1}">
  <dimension ref="B1:G53"/>
  <sheetViews>
    <sheetView tabSelected="1" topLeftCell="A7" workbookViewId="0">
      <selection activeCell="AA27" sqref="AA27"/>
    </sheetView>
  </sheetViews>
  <sheetFormatPr defaultRowHeight="15" x14ac:dyDescent="0.25"/>
  <cols>
    <col min="6" max="6" width="17.85546875" customWidth="1"/>
    <col min="7" max="7" width="17.42578125" customWidth="1"/>
  </cols>
  <sheetData>
    <row r="1" spans="2:7" x14ac:dyDescent="0.25">
      <c r="B1" t="s">
        <v>16</v>
      </c>
    </row>
    <row r="3" spans="2:7" x14ac:dyDescent="0.25">
      <c r="B3" t="s">
        <v>4</v>
      </c>
      <c r="C3" t="s">
        <v>10</v>
      </c>
      <c r="D3" t="s">
        <v>11</v>
      </c>
      <c r="E3" t="s">
        <v>12</v>
      </c>
      <c r="F3" t="s">
        <v>13</v>
      </c>
      <c r="G3" t="s">
        <v>3</v>
      </c>
    </row>
    <row r="4" spans="2:7" x14ac:dyDescent="0.25">
      <c r="B4" t="s">
        <v>14</v>
      </c>
      <c r="C4">
        <v>21</v>
      </c>
      <c r="D4">
        <v>20</v>
      </c>
      <c r="E4">
        <f>100-D4</f>
        <v>80</v>
      </c>
      <c r="F4">
        <v>2.2910490000000001</v>
      </c>
      <c r="G4">
        <v>0.66784620677329598</v>
      </c>
    </row>
    <row r="5" spans="2:7" x14ac:dyDescent="0.25">
      <c r="B5" t="s">
        <v>14</v>
      </c>
      <c r="C5">
        <v>21</v>
      </c>
      <c r="D5">
        <v>30</v>
      </c>
      <c r="E5">
        <f>100-D5</f>
        <v>70</v>
      </c>
      <c r="F5">
        <v>2.3217240000000001</v>
      </c>
      <c r="G5">
        <v>0.70853928775367303</v>
      </c>
    </row>
    <row r="6" spans="2:7" x14ac:dyDescent="0.25">
      <c r="B6" t="s">
        <v>14</v>
      </c>
      <c r="C6">
        <v>21</v>
      </c>
      <c r="D6">
        <v>40</v>
      </c>
      <c r="E6">
        <f t="shared" ref="E6:E13" si="0">100-D6</f>
        <v>60</v>
      </c>
      <c r="F6">
        <v>2.2668650000000001</v>
      </c>
      <c r="G6">
        <v>1.25443899017931</v>
      </c>
    </row>
    <row r="7" spans="2:7" x14ac:dyDescent="0.25">
      <c r="B7" t="s">
        <v>14</v>
      </c>
      <c r="C7">
        <v>21</v>
      </c>
      <c r="D7">
        <v>50</v>
      </c>
      <c r="E7">
        <f t="shared" si="0"/>
        <v>50</v>
      </c>
      <c r="F7">
        <v>2.4100090000000001</v>
      </c>
      <c r="G7">
        <v>2.8569256294800001</v>
      </c>
    </row>
    <row r="8" spans="2:7" x14ac:dyDescent="0.25">
      <c r="B8" t="s">
        <v>14</v>
      </c>
      <c r="C8">
        <v>21</v>
      </c>
      <c r="D8">
        <v>60</v>
      </c>
      <c r="E8">
        <f t="shared" si="0"/>
        <v>40</v>
      </c>
      <c r="F8">
        <v>2.1210339999999999</v>
      </c>
      <c r="G8">
        <v>2.8941255894790898</v>
      </c>
    </row>
    <row r="9" spans="2:7" x14ac:dyDescent="0.25">
      <c r="B9" t="s">
        <v>14</v>
      </c>
      <c r="C9">
        <v>21</v>
      </c>
      <c r="D9">
        <v>61</v>
      </c>
      <c r="E9">
        <f t="shared" si="0"/>
        <v>39</v>
      </c>
      <c r="F9">
        <v>2.1560139999999999</v>
      </c>
      <c r="G9">
        <v>2.7754621558369199</v>
      </c>
    </row>
    <row r="10" spans="2:7" x14ac:dyDescent="0.25">
      <c r="B10" s="1" t="s">
        <v>14</v>
      </c>
      <c r="C10" s="1">
        <v>21</v>
      </c>
      <c r="D10" s="1">
        <v>62</v>
      </c>
      <c r="E10" s="1">
        <f t="shared" si="0"/>
        <v>38</v>
      </c>
      <c r="F10" s="1">
        <v>2.195262</v>
      </c>
      <c r="G10" s="1">
        <v>2.8984338375273699</v>
      </c>
    </row>
    <row r="11" spans="2:7" x14ac:dyDescent="0.25">
      <c r="B11" t="s">
        <v>14</v>
      </c>
      <c r="C11">
        <v>21</v>
      </c>
      <c r="D11">
        <v>63</v>
      </c>
      <c r="E11">
        <f t="shared" si="0"/>
        <v>37</v>
      </c>
      <c r="F11">
        <v>2.1664560000000002</v>
      </c>
      <c r="G11">
        <v>46.634121019323601</v>
      </c>
    </row>
    <row r="12" spans="2:7" x14ac:dyDescent="0.25">
      <c r="B12" t="s">
        <v>14</v>
      </c>
      <c r="C12">
        <v>21</v>
      </c>
      <c r="D12">
        <v>65</v>
      </c>
      <c r="E12">
        <f t="shared" si="0"/>
        <v>35</v>
      </c>
      <c r="F12">
        <v>2.076549</v>
      </c>
      <c r="G12">
        <v>44.095541417979597</v>
      </c>
    </row>
    <row r="13" spans="2:7" x14ac:dyDescent="0.25">
      <c r="B13" t="s">
        <v>14</v>
      </c>
      <c r="C13">
        <v>21</v>
      </c>
      <c r="D13">
        <v>70</v>
      </c>
      <c r="E13">
        <f t="shared" si="0"/>
        <v>30</v>
      </c>
      <c r="F13">
        <v>2.1409410000000002</v>
      </c>
      <c r="G13">
        <v>10.542290085167799</v>
      </c>
    </row>
    <row r="17" spans="2:7" x14ac:dyDescent="0.25">
      <c r="B17" t="s">
        <v>4</v>
      </c>
      <c r="C17" t="s">
        <v>10</v>
      </c>
      <c r="D17" t="s">
        <v>11</v>
      </c>
      <c r="E17" t="s">
        <v>12</v>
      </c>
      <c r="F17" t="s">
        <v>13</v>
      </c>
      <c r="G17" t="s">
        <v>3</v>
      </c>
    </row>
    <row r="18" spans="2:7" x14ac:dyDescent="0.25">
      <c r="B18" t="s">
        <v>15</v>
      </c>
      <c r="C18">
        <v>21</v>
      </c>
      <c r="D18">
        <v>20</v>
      </c>
      <c r="E18">
        <f>100-D18</f>
        <v>80</v>
      </c>
      <c r="F18">
        <v>2.4053390000000001</v>
      </c>
      <c r="G18">
        <v>0.52830822500687202</v>
      </c>
    </row>
    <row r="19" spans="2:7" x14ac:dyDescent="0.25">
      <c r="B19" t="s">
        <v>15</v>
      </c>
      <c r="C19">
        <v>21</v>
      </c>
      <c r="D19">
        <v>30</v>
      </c>
      <c r="E19">
        <f t="shared" ref="E19:E28" si="1">100-D19</f>
        <v>70</v>
      </c>
      <c r="F19">
        <v>2.434723</v>
      </c>
      <c r="G19">
        <v>0.62709127986581303</v>
      </c>
    </row>
    <row r="20" spans="2:7" x14ac:dyDescent="0.25">
      <c r="B20" t="s">
        <v>15</v>
      </c>
      <c r="C20">
        <v>21</v>
      </c>
      <c r="D20">
        <v>40</v>
      </c>
      <c r="E20">
        <f t="shared" si="1"/>
        <v>60</v>
      </c>
      <c r="F20">
        <v>2.362838</v>
      </c>
      <c r="G20">
        <v>0.86021845755637205</v>
      </c>
    </row>
    <row r="21" spans="2:7" x14ac:dyDescent="0.25">
      <c r="B21" t="s">
        <v>15</v>
      </c>
      <c r="C21">
        <v>21</v>
      </c>
      <c r="D21">
        <v>50</v>
      </c>
      <c r="E21">
        <f t="shared" si="1"/>
        <v>50</v>
      </c>
      <c r="F21">
        <v>2.2612510000000001</v>
      </c>
      <c r="G21">
        <v>1.93820743014956</v>
      </c>
    </row>
    <row r="22" spans="2:7" x14ac:dyDescent="0.25">
      <c r="B22" t="s">
        <v>15</v>
      </c>
      <c r="C22">
        <v>21</v>
      </c>
      <c r="D22">
        <v>60</v>
      </c>
      <c r="E22">
        <f t="shared" si="1"/>
        <v>40</v>
      </c>
      <c r="F22">
        <v>2.3081360000000002</v>
      </c>
      <c r="G22">
        <v>2.7100245135262502</v>
      </c>
    </row>
    <row r="23" spans="2:7" x14ac:dyDescent="0.25">
      <c r="B23" t="s">
        <v>15</v>
      </c>
      <c r="C23">
        <v>21</v>
      </c>
      <c r="D23">
        <v>70</v>
      </c>
      <c r="E23">
        <f t="shared" si="1"/>
        <v>30</v>
      </c>
      <c r="F23">
        <v>2.3968660000000002</v>
      </c>
      <c r="G23">
        <v>4.5368769845748096</v>
      </c>
    </row>
    <row r="24" spans="2:7" x14ac:dyDescent="0.25">
      <c r="B24" t="s">
        <v>15</v>
      </c>
      <c r="C24">
        <v>21</v>
      </c>
      <c r="D24">
        <v>75</v>
      </c>
      <c r="E24">
        <f t="shared" si="1"/>
        <v>25</v>
      </c>
      <c r="F24">
        <v>2.4383810000000001</v>
      </c>
      <c r="G24">
        <v>6.0650529803933599</v>
      </c>
    </row>
    <row r="25" spans="2:7" x14ac:dyDescent="0.25">
      <c r="B25" t="s">
        <v>15</v>
      </c>
      <c r="C25">
        <v>21</v>
      </c>
      <c r="D25">
        <v>77</v>
      </c>
      <c r="E25">
        <f t="shared" si="1"/>
        <v>23</v>
      </c>
      <c r="F25">
        <v>2.4409380000000001</v>
      </c>
      <c r="G25">
        <v>6.4974052559889</v>
      </c>
    </row>
    <row r="26" spans="2:7" x14ac:dyDescent="0.25">
      <c r="B26" t="s">
        <v>15</v>
      </c>
      <c r="C26">
        <v>21</v>
      </c>
      <c r="D26">
        <v>78</v>
      </c>
      <c r="E26">
        <f t="shared" si="1"/>
        <v>22</v>
      </c>
      <c r="F26">
        <v>2.1784599999999998</v>
      </c>
      <c r="G26">
        <v>6.22184515214418</v>
      </c>
    </row>
    <row r="27" spans="2:7" x14ac:dyDescent="0.25">
      <c r="B27" s="1" t="s">
        <v>15</v>
      </c>
      <c r="C27" s="1">
        <v>21</v>
      </c>
      <c r="D27" s="1">
        <v>79</v>
      </c>
      <c r="E27" s="1">
        <f t="shared" si="1"/>
        <v>21</v>
      </c>
      <c r="F27" s="1">
        <v>2.1987040000000002</v>
      </c>
      <c r="G27" s="1">
        <v>9.2652499971129298</v>
      </c>
    </row>
    <row r="28" spans="2:7" x14ac:dyDescent="0.25">
      <c r="B28" t="s">
        <v>15</v>
      </c>
      <c r="C28">
        <v>21</v>
      </c>
      <c r="D28">
        <v>80</v>
      </c>
      <c r="E28">
        <f t="shared" si="1"/>
        <v>20</v>
      </c>
      <c r="F28">
        <v>2.2487200000000001</v>
      </c>
      <c r="G28">
        <v>29.8300969934748</v>
      </c>
    </row>
    <row r="32" spans="2:7" x14ac:dyDescent="0.25">
      <c r="B32" t="s">
        <v>4</v>
      </c>
      <c r="C32" t="s">
        <v>10</v>
      </c>
      <c r="D32" t="s">
        <v>11</v>
      </c>
      <c r="E32" t="s">
        <v>12</v>
      </c>
      <c r="F32" t="s">
        <v>13</v>
      </c>
      <c r="G32" t="s">
        <v>3</v>
      </c>
    </row>
    <row r="33" spans="2:7" x14ac:dyDescent="0.25">
      <c r="B33" t="s">
        <v>17</v>
      </c>
      <c r="C33">
        <v>21</v>
      </c>
      <c r="D33">
        <v>20</v>
      </c>
      <c r="E33">
        <f>100-D33</f>
        <v>80</v>
      </c>
      <c r="F33">
        <v>4.7831489999999999</v>
      </c>
      <c r="G33">
        <v>0.99760904681600104</v>
      </c>
    </row>
    <row r="34" spans="2:7" x14ac:dyDescent="0.25">
      <c r="B34" t="s">
        <v>17</v>
      </c>
      <c r="C34">
        <v>21</v>
      </c>
      <c r="D34">
        <v>30</v>
      </c>
      <c r="E34">
        <f t="shared" ref="E34:E36" si="2">100-D34</f>
        <v>70</v>
      </c>
      <c r="F34">
        <v>4.5763590000000001</v>
      </c>
      <c r="G34">
        <v>1.0065346515301701</v>
      </c>
    </row>
    <row r="35" spans="2:7" x14ac:dyDescent="0.25">
      <c r="B35" t="s">
        <v>17</v>
      </c>
      <c r="C35">
        <v>21</v>
      </c>
      <c r="D35">
        <v>40</v>
      </c>
      <c r="E35">
        <f t="shared" si="2"/>
        <v>60</v>
      </c>
      <c r="F35">
        <v>5.4477669999999998</v>
      </c>
      <c r="G35">
        <v>0.89126402988916698</v>
      </c>
    </row>
    <row r="36" spans="2:7" x14ac:dyDescent="0.25">
      <c r="B36" t="s">
        <v>17</v>
      </c>
      <c r="C36">
        <v>21</v>
      </c>
      <c r="D36">
        <v>50</v>
      </c>
      <c r="E36">
        <f t="shared" si="2"/>
        <v>50</v>
      </c>
      <c r="F36">
        <v>5.7633320000000001</v>
      </c>
      <c r="G36">
        <v>2.37809584047148</v>
      </c>
    </row>
    <row r="37" spans="2:7" x14ac:dyDescent="0.25">
      <c r="B37" t="s">
        <v>17</v>
      </c>
      <c r="C37">
        <v>21</v>
      </c>
      <c r="D37">
        <v>60</v>
      </c>
      <c r="E37">
        <f>100-D37</f>
        <v>40</v>
      </c>
      <c r="F37">
        <v>5.2267419999999998</v>
      </c>
      <c r="G37">
        <v>3.1265392961331799</v>
      </c>
    </row>
    <row r="38" spans="2:7" x14ac:dyDescent="0.25">
      <c r="B38" t="s">
        <v>17</v>
      </c>
      <c r="C38">
        <v>21</v>
      </c>
      <c r="D38">
        <v>70</v>
      </c>
      <c r="E38">
        <f>100-D38</f>
        <v>30</v>
      </c>
      <c r="F38">
        <v>5.1972909999999999</v>
      </c>
      <c r="G38">
        <v>6.1579006351889296</v>
      </c>
    </row>
    <row r="39" spans="2:7" x14ac:dyDescent="0.25">
      <c r="B39" t="s">
        <v>17</v>
      </c>
      <c r="C39">
        <v>21</v>
      </c>
      <c r="D39">
        <v>75</v>
      </c>
      <c r="E39">
        <f>100-D39</f>
        <v>25</v>
      </c>
      <c r="F39">
        <v>5.1765559999999997</v>
      </c>
      <c r="G39">
        <v>7.2529884583681898</v>
      </c>
    </row>
    <row r="40" spans="2:7" x14ac:dyDescent="0.25">
      <c r="B40" t="s">
        <v>17</v>
      </c>
      <c r="C40">
        <v>21</v>
      </c>
      <c r="D40">
        <v>77</v>
      </c>
      <c r="E40">
        <f>100-D40</f>
        <v>23</v>
      </c>
      <c r="F40">
        <v>5.114509</v>
      </c>
      <c r="G40">
        <v>9.0335425073431601</v>
      </c>
    </row>
    <row r="41" spans="2:7" x14ac:dyDescent="0.25">
      <c r="B41" s="1" t="s">
        <v>17</v>
      </c>
      <c r="C41" s="1">
        <v>21</v>
      </c>
      <c r="D41" s="1">
        <v>78</v>
      </c>
      <c r="E41" s="1">
        <f>100-D41</f>
        <v>22</v>
      </c>
      <c r="F41" s="1">
        <v>5.1010059999999999</v>
      </c>
      <c r="G41" s="1">
        <v>9.8253601474948091</v>
      </c>
    </row>
    <row r="42" spans="2:7" x14ac:dyDescent="0.25">
      <c r="B42" t="s">
        <v>17</v>
      </c>
      <c r="C42">
        <v>21</v>
      </c>
      <c r="D42">
        <v>79</v>
      </c>
      <c r="E42">
        <f>100-D42</f>
        <v>21</v>
      </c>
      <c r="F42">
        <v>5.1766870000000003</v>
      </c>
      <c r="G42">
        <v>10.549883055164599</v>
      </c>
    </row>
    <row r="43" spans="2:7" x14ac:dyDescent="0.25">
      <c r="B43" t="s">
        <v>17</v>
      </c>
      <c r="C43">
        <v>21</v>
      </c>
      <c r="D43">
        <v>80</v>
      </c>
      <c r="E43">
        <f>100-D43</f>
        <v>20</v>
      </c>
      <c r="F43">
        <v>5.0735060000000001</v>
      </c>
      <c r="G43">
        <v>14.3199733172543</v>
      </c>
    </row>
    <row r="47" spans="2:7" x14ac:dyDescent="0.25">
      <c r="B47" t="s">
        <v>4</v>
      </c>
      <c r="C47" t="s">
        <v>10</v>
      </c>
      <c r="D47" t="s">
        <v>11</v>
      </c>
      <c r="E47" t="s">
        <v>12</v>
      </c>
      <c r="F47" t="s">
        <v>13</v>
      </c>
      <c r="G47" t="s">
        <v>3</v>
      </c>
    </row>
    <row r="48" spans="2:7" x14ac:dyDescent="0.25">
      <c r="B48" t="s">
        <v>18</v>
      </c>
      <c r="C48">
        <v>21</v>
      </c>
      <c r="D48">
        <v>20</v>
      </c>
      <c r="E48">
        <f>100-D48</f>
        <v>80</v>
      </c>
      <c r="F48">
        <v>3.462399</v>
      </c>
      <c r="G48">
        <v>1.1302268228424199</v>
      </c>
    </row>
    <row r="49" spans="4:7" x14ac:dyDescent="0.25">
      <c r="D49">
        <v>30</v>
      </c>
      <c r="E49">
        <f t="shared" ref="E49:E53" si="3">100-D49</f>
        <v>70</v>
      </c>
      <c r="F49">
        <v>3.419816</v>
      </c>
      <c r="G49">
        <v>1.27988138200882</v>
      </c>
    </row>
    <row r="50" spans="4:7" x14ac:dyDescent="0.25">
      <c r="D50">
        <v>40</v>
      </c>
      <c r="E50">
        <f t="shared" si="3"/>
        <v>60</v>
      </c>
      <c r="F50">
        <v>3.5066389999999998</v>
      </c>
      <c r="G50">
        <v>1.1395179678534499</v>
      </c>
    </row>
    <row r="51" spans="4:7" x14ac:dyDescent="0.25">
      <c r="D51">
        <v>50</v>
      </c>
      <c r="E51">
        <f t="shared" si="3"/>
        <v>50</v>
      </c>
      <c r="F51">
        <v>3.2713909999999999</v>
      </c>
      <c r="G51">
        <v>2.3931083798284098</v>
      </c>
    </row>
    <row r="52" spans="4:7" x14ac:dyDescent="0.25">
      <c r="D52">
        <v>60</v>
      </c>
      <c r="E52">
        <f t="shared" si="3"/>
        <v>40</v>
      </c>
    </row>
    <row r="53" spans="4:7" x14ac:dyDescent="0.25">
      <c r="E53">
        <f t="shared" si="3"/>
        <v>100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Seed 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Daisy Bradley</dc:creator>
  <cp:lastModifiedBy>Daisy Bradley</cp:lastModifiedBy>
  <dcterms:created xsi:type="dcterms:W3CDTF">2025-12-15T15:46:18Z</dcterms:created>
  <dcterms:modified xsi:type="dcterms:W3CDTF">2025-12-18T16:53:20Z</dcterms:modified>
</cp:coreProperties>
</file>