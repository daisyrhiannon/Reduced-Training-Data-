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p24db\Documents\Python\Reduced Training Data\"/>
    </mc:Choice>
  </mc:AlternateContent>
  <xr:revisionPtr revIDLastSave="0" documentId="13_ncr:2001_{249E62A4-D7E3-4898-A2B2-EB6FDEB69632}" xr6:coauthVersionLast="47" xr6:coauthVersionMax="47" xr10:uidLastSave="{00000000-0000-0000-0000-000000000000}"/>
  <bookViews>
    <workbookView xWindow="-120" yWindow="-120" windowWidth="29040" windowHeight="15720" activeTab="6" xr2:uid="{19C7D15D-E830-43C1-9EED-066C80D1A608}"/>
  </bookViews>
  <sheets>
    <sheet name="First attempt" sheetId="1" r:id="rId1"/>
    <sheet name="DO NOT USE - Seed 21" sheetId="2" r:id="rId2"/>
    <sheet name="Grid Tests" sheetId="3" r:id="rId3"/>
    <sheet name="Strip Tests" sheetId="4" r:id="rId4"/>
    <sheet name="Strip Tests January" sheetId="5" r:id="rId5"/>
    <sheet name="NMSE rerun" sheetId="6" r:id="rId6"/>
    <sheet name="GARTEUR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7" l="1"/>
  <c r="N49" i="7"/>
  <c r="H49" i="7"/>
  <c r="F49" i="7"/>
  <c r="D49" i="7"/>
  <c r="H32" i="7"/>
  <c r="H33" i="7" s="1"/>
  <c r="H31" i="7"/>
  <c r="H34" i="7" s="1"/>
  <c r="H30" i="7"/>
  <c r="H29" i="7"/>
  <c r="F32" i="7"/>
  <c r="F30" i="7"/>
  <c r="F31" i="7" s="1"/>
  <c r="F34" i="7" s="1"/>
  <c r="F29" i="7"/>
  <c r="L25" i="7"/>
  <c r="K25" i="7"/>
  <c r="L23" i="7"/>
  <c r="L24" i="7"/>
  <c r="K23" i="7"/>
  <c r="K24" i="7"/>
  <c r="L20" i="7"/>
  <c r="K20" i="7"/>
  <c r="L19" i="7"/>
  <c r="K19" i="7"/>
  <c r="O59" i="6"/>
  <c r="M59" i="6"/>
  <c r="K59" i="6"/>
  <c r="I59" i="6"/>
  <c r="O55" i="6"/>
  <c r="M55" i="6"/>
  <c r="K55" i="6"/>
  <c r="I55" i="6"/>
  <c r="AB37" i="6"/>
  <c r="O48" i="6" s="1"/>
  <c r="O49" i="6" s="1"/>
  <c r="M53" i="6"/>
  <c r="M51" i="6"/>
  <c r="M52" i="6" s="1"/>
  <c r="M50" i="6"/>
  <c r="M49" i="6"/>
  <c r="M48" i="6"/>
  <c r="AO37" i="6"/>
  <c r="AN37" i="6"/>
  <c r="AO36" i="6"/>
  <c r="AN36" i="6"/>
  <c r="AA37" i="6"/>
  <c r="AB36" i="6"/>
  <c r="AA36" i="6"/>
  <c r="M36" i="6"/>
  <c r="M37" i="6"/>
  <c r="L36" i="6"/>
  <c r="L37" i="6"/>
  <c r="AO30" i="6"/>
  <c r="AO31" i="6"/>
  <c r="AO32" i="6"/>
  <c r="AO33" i="6"/>
  <c r="AN30" i="6"/>
  <c r="AN31" i="6"/>
  <c r="AN32" i="6"/>
  <c r="AN33" i="6"/>
  <c r="AO29" i="6"/>
  <c r="AN29" i="6"/>
  <c r="AB33" i="6"/>
  <c r="AA33" i="6"/>
  <c r="AB32" i="6"/>
  <c r="AA32" i="6"/>
  <c r="AB31" i="6"/>
  <c r="AA31" i="6"/>
  <c r="AB30" i="6"/>
  <c r="AA30" i="6"/>
  <c r="AB29" i="6"/>
  <c r="AA29" i="6"/>
  <c r="M30" i="6"/>
  <c r="M31" i="6"/>
  <c r="L30" i="6"/>
  <c r="L31" i="6"/>
  <c r="M29" i="6"/>
  <c r="L29" i="6"/>
  <c r="M33" i="6"/>
  <c r="L33" i="6"/>
  <c r="M32" i="6"/>
  <c r="L32" i="6"/>
  <c r="Q25" i="6"/>
  <c r="Q26" i="6"/>
  <c r="Q20" i="6"/>
  <c r="Q19" i="6"/>
  <c r="Q18" i="6"/>
  <c r="M22" i="6"/>
  <c r="L22" i="6"/>
  <c r="M21" i="6"/>
  <c r="L21" i="6"/>
  <c r="L12" i="7"/>
  <c r="N29" i="7" s="1"/>
  <c r="N30" i="7" s="1"/>
  <c r="N32" i="7" s="1"/>
  <c r="K12" i="7"/>
  <c r="L16" i="7"/>
  <c r="P29" i="7" s="1"/>
  <c r="P30" i="7" s="1"/>
  <c r="K16" i="7"/>
  <c r="L15" i="7"/>
  <c r="K15" i="7"/>
  <c r="L11" i="7"/>
  <c r="K11" i="7"/>
  <c r="L8" i="7"/>
  <c r="D29" i="7" s="1"/>
  <c r="D30" i="7" s="1"/>
  <c r="K8" i="7"/>
  <c r="L7" i="7"/>
  <c r="K7" i="7"/>
  <c r="L6" i="7"/>
  <c r="K6" i="7"/>
  <c r="AO26" i="6"/>
  <c r="AN26" i="6"/>
  <c r="AO25" i="6"/>
  <c r="AN25" i="6"/>
  <c r="AO20" i="6"/>
  <c r="AN20" i="6"/>
  <c r="AO19" i="6"/>
  <c r="AN19" i="6"/>
  <c r="AO18" i="6"/>
  <c r="AN18" i="6"/>
  <c r="AO17" i="6"/>
  <c r="AN17" i="6"/>
  <c r="AO14" i="6"/>
  <c r="AN14" i="6"/>
  <c r="AO13" i="6"/>
  <c r="AN13" i="6"/>
  <c r="AO12" i="6"/>
  <c r="AN12" i="6"/>
  <c r="AO11" i="6"/>
  <c r="AN11" i="6"/>
  <c r="AO10" i="6"/>
  <c r="AN10" i="6"/>
  <c r="AO9" i="6"/>
  <c r="AN9" i="6"/>
  <c r="AO8" i="6"/>
  <c r="AN8" i="6"/>
  <c r="AB26" i="6"/>
  <c r="AA26" i="6"/>
  <c r="AB25" i="6"/>
  <c r="AA25" i="6"/>
  <c r="AB20" i="6"/>
  <c r="AA20" i="6"/>
  <c r="AB19" i="6"/>
  <c r="AA19" i="6"/>
  <c r="AB18" i="6"/>
  <c r="AA18" i="6"/>
  <c r="AB17" i="6"/>
  <c r="AA17" i="6"/>
  <c r="AB14" i="6"/>
  <c r="AA14" i="6"/>
  <c r="AB13" i="6"/>
  <c r="AA13" i="6"/>
  <c r="AB12" i="6"/>
  <c r="AA12" i="6"/>
  <c r="AB11" i="6"/>
  <c r="AA11" i="6"/>
  <c r="AB10" i="6"/>
  <c r="AA10" i="6"/>
  <c r="AB9" i="6"/>
  <c r="AA9" i="6"/>
  <c r="AB8" i="6"/>
  <c r="AA8" i="6"/>
  <c r="M26" i="6"/>
  <c r="L26" i="6"/>
  <c r="M20" i="6"/>
  <c r="L20" i="6"/>
  <c r="M14" i="6"/>
  <c r="L14" i="6"/>
  <c r="M13" i="6"/>
  <c r="L13" i="6"/>
  <c r="M25" i="6"/>
  <c r="L25" i="6"/>
  <c r="M19" i="6"/>
  <c r="L19" i="6"/>
  <c r="M18" i="6"/>
  <c r="L18" i="6"/>
  <c r="M17" i="6"/>
  <c r="L17" i="6"/>
  <c r="M12" i="6"/>
  <c r="L12" i="6"/>
  <c r="M11" i="6"/>
  <c r="L11" i="6"/>
  <c r="M10" i="6"/>
  <c r="L10" i="6"/>
  <c r="M9" i="6"/>
  <c r="L9" i="6"/>
  <c r="M8" i="6"/>
  <c r="L8" i="6"/>
  <c r="I29" i="5"/>
  <c r="G29" i="5"/>
  <c r="E29" i="5"/>
  <c r="E25" i="5"/>
  <c r="I25" i="5"/>
  <c r="I26" i="5" s="1"/>
  <c r="G27" i="5"/>
  <c r="G26" i="5"/>
  <c r="G25" i="5"/>
  <c r="AL19" i="5"/>
  <c r="AK19" i="5"/>
  <c r="Y19" i="5"/>
  <c r="X19" i="5"/>
  <c r="L19" i="5"/>
  <c r="K19" i="5"/>
  <c r="L16" i="5"/>
  <c r="K16" i="5"/>
  <c r="Y16" i="5"/>
  <c r="X16" i="5"/>
  <c r="AL16" i="5"/>
  <c r="AK16" i="5"/>
  <c r="AL15" i="5"/>
  <c r="AK15" i="5"/>
  <c r="AL14" i="5"/>
  <c r="AK14" i="5"/>
  <c r="Y15" i="5"/>
  <c r="X15" i="5"/>
  <c r="Y14" i="5"/>
  <c r="X14" i="5"/>
  <c r="L15" i="5"/>
  <c r="K15" i="5"/>
  <c r="L14" i="5"/>
  <c r="K14" i="5"/>
  <c r="AL11" i="5"/>
  <c r="AK11" i="5"/>
  <c r="AL10" i="5"/>
  <c r="AK10" i="5"/>
  <c r="AL9" i="5"/>
  <c r="AK9" i="5"/>
  <c r="AL8" i="5"/>
  <c r="AK8" i="5"/>
  <c r="AL7" i="5"/>
  <c r="AK7" i="5"/>
  <c r="Y11" i="5"/>
  <c r="X11" i="5"/>
  <c r="Y10" i="5"/>
  <c r="X10" i="5"/>
  <c r="Y9" i="5"/>
  <c r="X9" i="5"/>
  <c r="Y8" i="5"/>
  <c r="X8" i="5"/>
  <c r="Y7" i="5"/>
  <c r="X7" i="5"/>
  <c r="L11" i="5"/>
  <c r="K11" i="5"/>
  <c r="L9" i="5"/>
  <c r="L10" i="5"/>
  <c r="K9" i="5"/>
  <c r="K10" i="5"/>
  <c r="L8" i="5"/>
  <c r="K8" i="5"/>
  <c r="L7" i="5"/>
  <c r="K7" i="5"/>
  <c r="X34" i="4"/>
  <c r="X33" i="4"/>
  <c r="X28" i="4"/>
  <c r="X27" i="4"/>
  <c r="X26" i="4"/>
  <c r="X25" i="4"/>
  <c r="X20" i="4"/>
  <c r="X19" i="4"/>
  <c r="X18" i="4"/>
  <c r="X17" i="4"/>
  <c r="X16" i="4"/>
  <c r="X15" i="4"/>
  <c r="X10" i="4"/>
  <c r="X9" i="4"/>
  <c r="X8" i="4"/>
  <c r="X7" i="4"/>
  <c r="X6" i="4"/>
  <c r="X5" i="4"/>
  <c r="O34" i="4"/>
  <c r="O33" i="4"/>
  <c r="O28" i="4"/>
  <c r="O27" i="4"/>
  <c r="O26" i="4"/>
  <c r="O25" i="4"/>
  <c r="O20" i="4"/>
  <c r="O19" i="4"/>
  <c r="O18" i="4"/>
  <c r="O17" i="4"/>
  <c r="O16" i="4"/>
  <c r="O15" i="4"/>
  <c r="O10" i="4"/>
  <c r="O9" i="4"/>
  <c r="O8" i="4"/>
  <c r="O7" i="4"/>
  <c r="O6" i="4"/>
  <c r="O5" i="4"/>
  <c r="F34" i="4"/>
  <c r="F33" i="4"/>
  <c r="F28" i="4"/>
  <c r="F27" i="4"/>
  <c r="F26" i="4"/>
  <c r="F25" i="4"/>
  <c r="F16" i="4"/>
  <c r="F17" i="4"/>
  <c r="F18" i="4"/>
  <c r="F19" i="4"/>
  <c r="F20" i="4"/>
  <c r="F15" i="4"/>
  <c r="F6" i="4"/>
  <c r="F7" i="4"/>
  <c r="F8" i="4"/>
  <c r="F9" i="4"/>
  <c r="F10" i="4"/>
  <c r="F5" i="4"/>
  <c r="W52" i="3"/>
  <c r="W51" i="3"/>
  <c r="W50" i="3"/>
  <c r="W49" i="3"/>
  <c r="W48" i="3"/>
  <c r="W47" i="3"/>
  <c r="W46" i="3"/>
  <c r="W39" i="3"/>
  <c r="W40" i="3"/>
  <c r="W41" i="3"/>
  <c r="W38" i="3"/>
  <c r="W37" i="3"/>
  <c r="W36" i="3"/>
  <c r="W35" i="3"/>
  <c r="W34" i="3"/>
  <c r="W33" i="3"/>
  <c r="W26" i="3"/>
  <c r="W27" i="3"/>
  <c r="W28" i="3"/>
  <c r="W25" i="3"/>
  <c r="W24" i="3"/>
  <c r="W23" i="3"/>
  <c r="W22" i="3"/>
  <c r="W21" i="3"/>
  <c r="W20" i="3"/>
  <c r="W19" i="3"/>
  <c r="W18" i="3"/>
  <c r="W11" i="3"/>
  <c r="W12" i="3"/>
  <c r="W10" i="3"/>
  <c r="W9" i="3"/>
  <c r="W8" i="3"/>
  <c r="W7" i="3"/>
  <c r="W6" i="3"/>
  <c r="W5" i="3"/>
  <c r="W4" i="3"/>
  <c r="N43" i="3"/>
  <c r="N59" i="3"/>
  <c r="N58" i="3"/>
  <c r="N57" i="3"/>
  <c r="N56" i="3"/>
  <c r="N55" i="3"/>
  <c r="N54" i="3"/>
  <c r="N53" i="3"/>
  <c r="N52" i="3"/>
  <c r="N51" i="3"/>
  <c r="N50" i="3"/>
  <c r="N49" i="3"/>
  <c r="N44" i="3"/>
  <c r="N42" i="3"/>
  <c r="N41" i="3"/>
  <c r="N40" i="3"/>
  <c r="N39" i="3"/>
  <c r="N38" i="3"/>
  <c r="N37" i="3"/>
  <c r="N36" i="3"/>
  <c r="N35" i="3"/>
  <c r="N34" i="3"/>
  <c r="N33" i="3"/>
  <c r="N12" i="3"/>
  <c r="N28" i="3"/>
  <c r="N27" i="3"/>
  <c r="N26" i="3"/>
  <c r="N25" i="3"/>
  <c r="N24" i="3"/>
  <c r="N23" i="3"/>
  <c r="N22" i="3"/>
  <c r="N21" i="3"/>
  <c r="N20" i="3"/>
  <c r="N19" i="3"/>
  <c r="N18" i="3"/>
  <c r="N11" i="3"/>
  <c r="N13" i="3"/>
  <c r="N10" i="3"/>
  <c r="N9" i="3"/>
  <c r="N8" i="3"/>
  <c r="N7" i="3"/>
  <c r="N6" i="3"/>
  <c r="N5" i="3"/>
  <c r="N4" i="3"/>
  <c r="E51" i="3"/>
  <c r="E52" i="3"/>
  <c r="E50" i="3"/>
  <c r="E47" i="3"/>
  <c r="E37" i="3"/>
  <c r="E9" i="3"/>
  <c r="E49" i="3"/>
  <c r="E48" i="3"/>
  <c r="E46" i="3"/>
  <c r="E45" i="3"/>
  <c r="E44" i="3"/>
  <c r="E39" i="3"/>
  <c r="E38" i="3"/>
  <c r="E36" i="3"/>
  <c r="E35" i="3"/>
  <c r="E34" i="3"/>
  <c r="E33" i="3"/>
  <c r="E32" i="3"/>
  <c r="E31" i="3"/>
  <c r="E30" i="3"/>
  <c r="E25" i="3"/>
  <c r="E24" i="3"/>
  <c r="E23" i="3"/>
  <c r="E22" i="3"/>
  <c r="E21" i="3"/>
  <c r="E20" i="3"/>
  <c r="E19" i="3"/>
  <c r="E18" i="3"/>
  <c r="E17" i="3"/>
  <c r="E16" i="3"/>
  <c r="E15" i="3"/>
  <c r="E10" i="3"/>
  <c r="E8" i="3"/>
  <c r="E7" i="3"/>
  <c r="E6" i="3"/>
  <c r="E5" i="3"/>
  <c r="E4" i="3"/>
  <c r="E49" i="2"/>
  <c r="E50" i="2"/>
  <c r="E51" i="2"/>
  <c r="E52" i="2"/>
  <c r="E53" i="2"/>
  <c r="E48" i="2"/>
  <c r="E43" i="2"/>
  <c r="E42" i="2"/>
  <c r="E41" i="2"/>
  <c r="E40" i="2"/>
  <c r="E39" i="2"/>
  <c r="E38" i="2"/>
  <c r="E37" i="2"/>
  <c r="E36" i="2"/>
  <c r="E35" i="2"/>
  <c r="E34" i="2"/>
  <c r="E33" i="2"/>
  <c r="E27" i="2"/>
  <c r="E26" i="2"/>
  <c r="E25" i="2"/>
  <c r="E24" i="2"/>
  <c r="E28" i="2"/>
  <c r="E19" i="2"/>
  <c r="E20" i="2"/>
  <c r="E21" i="2"/>
  <c r="E22" i="2"/>
  <c r="E23" i="2"/>
  <c r="E18" i="2"/>
  <c r="E9" i="2"/>
  <c r="E11" i="2"/>
  <c r="E10" i="2"/>
  <c r="E12" i="2"/>
  <c r="E13" i="2"/>
  <c r="E6" i="2"/>
  <c r="E7" i="2"/>
  <c r="E8" i="2"/>
  <c r="E5" i="2"/>
  <c r="E4" i="2"/>
  <c r="Q73" i="1"/>
  <c r="Q74" i="1"/>
  <c r="Q75" i="1"/>
  <c r="Q71" i="1"/>
  <c r="Q72" i="1"/>
  <c r="Q70" i="1"/>
  <c r="Q69" i="1"/>
  <c r="Q68" i="1"/>
  <c r="Q63" i="1"/>
  <c r="Q62" i="1"/>
  <c r="Q61" i="1"/>
  <c r="Q60" i="1"/>
  <c r="Q64" i="1"/>
  <c r="Q58" i="1"/>
  <c r="Q59" i="1"/>
  <c r="Q55" i="1"/>
  <c r="Q54" i="1"/>
  <c r="Q56" i="1"/>
  <c r="Q57" i="1"/>
  <c r="Q53" i="1"/>
  <c r="Q48" i="1"/>
  <c r="Q47" i="1"/>
  <c r="Q49" i="1"/>
  <c r="Q45" i="1"/>
  <c r="Q46" i="1"/>
  <c r="Q44" i="1"/>
  <c r="Q43" i="1"/>
  <c r="Q40" i="1"/>
  <c r="Q41" i="1"/>
  <c r="Q42" i="1"/>
  <c r="Q39" i="1"/>
  <c r="Q32" i="1"/>
  <c r="Q33" i="1"/>
  <c r="Q34" i="1"/>
  <c r="Q31" i="1"/>
  <c r="E31" i="1"/>
  <c r="E32" i="1"/>
  <c r="E33" i="1"/>
  <c r="E34" i="1"/>
  <c r="E35" i="1"/>
  <c r="E36" i="1"/>
  <c r="E37" i="1"/>
  <c r="E38" i="1"/>
  <c r="Q27" i="1"/>
  <c r="Q25" i="1"/>
  <c r="Q24" i="1"/>
  <c r="Q26" i="1"/>
  <c r="Q23" i="1"/>
  <c r="Q22" i="1"/>
  <c r="Q21" i="1"/>
  <c r="Q18" i="1"/>
  <c r="Q19" i="1"/>
  <c r="Q20" i="1"/>
  <c r="Q17" i="1"/>
  <c r="E24" i="1"/>
  <c r="E26" i="1"/>
  <c r="E27" i="1"/>
  <c r="E25" i="1"/>
  <c r="E23" i="1"/>
  <c r="E22" i="1"/>
  <c r="E19" i="1"/>
  <c r="E20" i="1"/>
  <c r="E21" i="1"/>
  <c r="E18" i="1"/>
  <c r="E17" i="1"/>
  <c r="Q12" i="1"/>
  <c r="Q11" i="1"/>
  <c r="Q10" i="1"/>
  <c r="Q9" i="1"/>
  <c r="E12" i="1"/>
  <c r="E11" i="1"/>
  <c r="E13" i="1"/>
  <c r="Q7" i="1"/>
  <c r="Q8" i="1"/>
  <c r="E7" i="1"/>
  <c r="E8" i="1"/>
  <c r="E9" i="1"/>
  <c r="E10" i="1"/>
  <c r="Q6" i="1"/>
  <c r="Q5" i="1"/>
  <c r="E6" i="1"/>
  <c r="E5" i="1"/>
  <c r="F33" i="7" l="1"/>
  <c r="P32" i="7"/>
  <c r="P31" i="7"/>
  <c r="N31" i="7"/>
  <c r="N34" i="7" s="1"/>
  <c r="O50" i="6"/>
  <c r="O51" i="6"/>
  <c r="O52" i="6" s="1"/>
  <c r="K48" i="6"/>
  <c r="K49" i="6" s="1"/>
  <c r="K51" i="6" s="1"/>
  <c r="I48" i="6"/>
  <c r="I49" i="6" s="1"/>
  <c r="I51" i="6" s="1"/>
  <c r="G48" i="6"/>
  <c r="G49" i="6" s="1"/>
  <c r="D32" i="7"/>
  <c r="D31" i="7"/>
  <c r="G28" i="5"/>
  <c r="E27" i="5"/>
  <c r="E28" i="5" s="1"/>
  <c r="E26" i="5"/>
  <c r="I27" i="5"/>
  <c r="I28" i="5" s="1"/>
  <c r="A11" i="5"/>
  <c r="A15" i="5"/>
  <c r="A19" i="5"/>
  <c r="P34" i="7" l="1"/>
  <c r="P33" i="7"/>
  <c r="N33" i="7"/>
  <c r="O53" i="6"/>
  <c r="K50" i="6"/>
  <c r="K53" i="6" s="1"/>
  <c r="I50" i="6"/>
  <c r="I53" i="6" s="1"/>
  <c r="G51" i="6"/>
  <c r="G50" i="6"/>
  <c r="D34" i="7"/>
  <c r="D33" i="7"/>
  <c r="F51" i="7" l="1"/>
  <c r="H51" i="7"/>
  <c r="N51" i="7"/>
  <c r="D51" i="7"/>
  <c r="G53" i="6"/>
  <c r="I52" i="6"/>
  <c r="K52" i="6"/>
  <c r="G52" i="6"/>
</calcChain>
</file>

<file path=xl/sharedStrings.xml><?xml version="1.0" encoding="utf-8"?>
<sst xmlns="http://schemas.openxmlformats.org/spreadsheetml/2006/main" count="706" uniqueCount="69">
  <si>
    <t xml:space="preserve">number pulled </t>
  </si>
  <si>
    <t xml:space="preserve">number of training data points used </t>
  </si>
  <si>
    <t xml:space="preserve">run time (s) </t>
  </si>
  <si>
    <t xml:space="preserve">NMSE </t>
  </si>
  <si>
    <t xml:space="preserve">Model </t>
  </si>
  <si>
    <t xml:space="preserve">Seed </t>
  </si>
  <si>
    <t xml:space="preserve">Black </t>
  </si>
  <si>
    <t>Grey</t>
  </si>
  <si>
    <t xml:space="preserve">Grey </t>
  </si>
  <si>
    <t xml:space="preserve">Grey - Periodic </t>
  </si>
  <si>
    <t>Seed</t>
  </si>
  <si>
    <t xml:space="preserve">N pulled </t>
  </si>
  <si>
    <t xml:space="preserve">N train </t>
  </si>
  <si>
    <t xml:space="preserve">Time </t>
  </si>
  <si>
    <t xml:space="preserve">Black 1 </t>
  </si>
  <si>
    <t xml:space="preserve">Black 2 </t>
  </si>
  <si>
    <t>Note that for these tests, #fig.show for ease</t>
  </si>
  <si>
    <t>Grey 2</t>
  </si>
  <si>
    <t>Grey  1</t>
  </si>
  <si>
    <t xml:space="preserve">Grey 2 </t>
  </si>
  <si>
    <t xml:space="preserve">Grey 1 </t>
  </si>
  <si>
    <t xml:space="preserve">strip % </t>
  </si>
  <si>
    <t xml:space="preserve">ntr </t>
  </si>
  <si>
    <t xml:space="preserve">time </t>
  </si>
  <si>
    <t xml:space="preserve">seed </t>
  </si>
  <si>
    <t xml:space="preserve">plot and gpu turned off </t>
  </si>
  <si>
    <t>Seed 12</t>
  </si>
  <si>
    <t xml:space="preserve">NMSE 1 </t>
  </si>
  <si>
    <t>NMSE 2</t>
  </si>
  <si>
    <t xml:space="preserve">NMSE 3 </t>
  </si>
  <si>
    <t>Black-1</t>
  </si>
  <si>
    <t xml:space="preserve">Black-1 </t>
  </si>
  <si>
    <t>time 1</t>
  </si>
  <si>
    <t xml:space="preserve">time 2 </t>
  </si>
  <si>
    <t xml:space="preserve">time 3 </t>
  </si>
  <si>
    <t>NMSE ave</t>
  </si>
  <si>
    <t xml:space="preserve">t ave </t>
  </si>
  <si>
    <t>Seed 897</t>
  </si>
  <si>
    <t>Seed 222</t>
  </si>
  <si>
    <t>t ave ultra</t>
  </si>
  <si>
    <t>Grey-1</t>
  </si>
  <si>
    <t>Grey-2</t>
  </si>
  <si>
    <t xml:space="preserve">   </t>
  </si>
  <si>
    <t xml:space="preserve">t (sec </t>
  </si>
  <si>
    <t xml:space="preserve">t (hours) </t>
  </si>
  <si>
    <t xml:space="preserve">CO2 </t>
  </si>
  <si>
    <t>E(ram)</t>
  </si>
  <si>
    <t>E(cpu)</t>
  </si>
  <si>
    <t xml:space="preserve">E total </t>
  </si>
  <si>
    <t xml:space="preserve">strip </t>
  </si>
  <si>
    <t xml:space="preserve">params </t>
  </si>
  <si>
    <t xml:space="preserve">noise </t>
  </si>
  <si>
    <t>mean</t>
  </si>
  <si>
    <t>outputscale</t>
  </si>
  <si>
    <t>lengthscale</t>
  </si>
  <si>
    <t>noise</t>
  </si>
  <si>
    <t xml:space="preserve">lengthscale </t>
  </si>
  <si>
    <t>period</t>
  </si>
  <si>
    <t xml:space="preserve">Bonus, fixing noise </t>
  </si>
  <si>
    <t>Average</t>
  </si>
  <si>
    <t>Grey-3</t>
  </si>
  <si>
    <t xml:space="preserve">Grey-4 </t>
  </si>
  <si>
    <t>Grey-4</t>
  </si>
  <si>
    <t xml:space="preserve">deltas </t>
  </si>
  <si>
    <t>TD</t>
  </si>
  <si>
    <t xml:space="preserve">TD delta </t>
  </si>
  <si>
    <t>HPs</t>
  </si>
  <si>
    <t xml:space="preserve">TD Delta </t>
  </si>
  <si>
    <t xml:space="preserve">Emissions delta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</si>
</sst>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164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Black-1 Seed 222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'NMSE rerun'!$E$9:$E$14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'NMSE rerun'!$M$9:$M$14</c:f>
              <c:numCache>
                <c:formatCode>General</c:formatCode>
                <c:ptCount val="6"/>
                <c:pt idx="0">
                  <c:v>4.07</c:v>
                </c:pt>
                <c:pt idx="1">
                  <c:v>5.2766666666666673</c:v>
                </c:pt>
                <c:pt idx="2">
                  <c:v>7.1766666666666667</c:v>
                </c:pt>
                <c:pt idx="3">
                  <c:v>9.0533333333333328</c:v>
                </c:pt>
                <c:pt idx="4">
                  <c:v>12.1</c:v>
                </c:pt>
                <c:pt idx="5">
                  <c:v>15.799999999999999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8-45F7-9586-6890A1D32D24}"/>
            </c:ext>
          </c:extLst>
        </c:ser>
        <c:ser>
          <c:idx val="1"/>
          <c:order val="1"/>
          <c:tx>
            <c:v>Grey-1 Seed 222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'NMSE rerun'!$E$17:$E$22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'NMSE rerun'!$M$17:$M$22</c:f>
              <c:numCache>
                <c:formatCode>General</c:formatCode>
                <c:ptCount val="6"/>
                <c:pt idx="0">
                  <c:v>5.9799999999999995</c:v>
                </c:pt>
                <c:pt idx="1">
                  <c:v>7.6766666666666667</c:v>
                </c:pt>
                <c:pt idx="2">
                  <c:v>8.7100000000000009</c:v>
                </c:pt>
                <c:pt idx="3">
                  <c:v>11.6</c:v>
                </c:pt>
                <c:pt idx="4">
                  <c:v>15.666666666666666</c:v>
                </c:pt>
                <c:pt idx="5">
                  <c:v>22.566666666666666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48-45F7-9586-6890A1D3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752032"/>
        <c:axId val="14737366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Grey-2 Seed 222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'NMSE rerun'!$E$25:$E$26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</c:v>
                      </c:pt>
                      <c:pt idx="1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'NMSE rerun'!$M$25:$M$26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3.5733333333333337</c:v>
                      </c:pt>
                      <c:pt idx="1">
                        <c:v>4.54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848-45F7-9586-6890A1D32D24}"/>
                  </c:ext>
                </c:extLst>
              </c15:ser>
            </c15:filteredScatterSeries>
          </c:ext>
        </c:extLst>
      </c:scatterChart>
      <c:valAx>
        <c:axId val="14737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Training data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36672"/>
        <c:crosses val="autoZero"/>
        <c:crossBetween val="midCat"/>
      </c:valAx>
      <c:valAx>
        <c:axId val="14737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5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45</xdr:row>
      <xdr:rowOff>80962</xdr:rowOff>
    </xdr:from>
    <xdr:to>
      <xdr:col>26</xdr:col>
      <xdr:colOff>0</xdr:colOff>
      <xdr:row>62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7EE22-E0DB-2102-9557-DD646B1D7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D8C9-EF3E-4709-AB98-C706ED400A04}">
  <dimension ref="B4:S75"/>
  <sheetViews>
    <sheetView workbookViewId="0">
      <selection activeCell="E49" sqref="E49"/>
    </sheetView>
  </sheetViews>
  <sheetFormatPr defaultRowHeight="15" x14ac:dyDescent="0.25"/>
  <cols>
    <col min="4" max="4" width="24.42578125" customWidth="1"/>
    <col min="5" max="5" width="38.7109375" customWidth="1"/>
    <col min="6" max="6" width="15.5703125" customWidth="1"/>
    <col min="7" max="7" width="25.85546875" customWidth="1"/>
    <col min="14" max="14" width="14.85546875" customWidth="1"/>
    <col min="15" max="15" width="12.5703125" customWidth="1"/>
    <col min="16" max="16" width="22.5703125" customWidth="1"/>
    <col min="17" max="17" width="32.85546875" customWidth="1"/>
    <col min="18" max="18" width="23.28515625" customWidth="1"/>
    <col min="19" max="19" width="21" customWidth="1"/>
  </cols>
  <sheetData>
    <row r="4" spans="2:19" x14ac:dyDescent="0.25">
      <c r="B4" t="s">
        <v>4</v>
      </c>
      <c r="C4" t="s">
        <v>5</v>
      </c>
      <c r="D4" t="s">
        <v>0</v>
      </c>
      <c r="E4" t="s">
        <v>1</v>
      </c>
      <c r="F4" t="s">
        <v>2</v>
      </c>
      <c r="G4" t="s">
        <v>3</v>
      </c>
      <c r="N4" t="s">
        <v>4</v>
      </c>
      <c r="O4" t="s">
        <v>5</v>
      </c>
      <c r="P4" t="s">
        <v>0</v>
      </c>
      <c r="Q4" t="s">
        <v>1</v>
      </c>
      <c r="R4" t="s">
        <v>2</v>
      </c>
      <c r="S4" t="s">
        <v>3</v>
      </c>
    </row>
    <row r="5" spans="2:19" x14ac:dyDescent="0.25">
      <c r="B5" t="s">
        <v>6</v>
      </c>
      <c r="C5">
        <v>21</v>
      </c>
      <c r="D5">
        <v>0</v>
      </c>
      <c r="E5">
        <f>100-D5</f>
        <v>100</v>
      </c>
      <c r="F5">
        <v>2.8491209999999998</v>
      </c>
      <c r="G5">
        <v>0.61990942208815802</v>
      </c>
      <c r="N5" t="s">
        <v>7</v>
      </c>
      <c r="O5">
        <v>21</v>
      </c>
      <c r="P5">
        <v>0</v>
      </c>
      <c r="Q5">
        <f t="shared" ref="Q5:Q12" si="0">100-P5</f>
        <v>100</v>
      </c>
      <c r="R5">
        <v>4.7569220000000003</v>
      </c>
      <c r="S5">
        <v>1.18196923874697</v>
      </c>
    </row>
    <row r="6" spans="2:19" x14ac:dyDescent="0.25">
      <c r="B6" t="s">
        <v>6</v>
      </c>
      <c r="C6">
        <v>21</v>
      </c>
      <c r="D6">
        <v>10</v>
      </c>
      <c r="E6">
        <f>100-D6</f>
        <v>90</v>
      </c>
      <c r="F6">
        <v>3.0554290000000002</v>
      </c>
      <c r="G6">
        <v>1.0857029538113501</v>
      </c>
      <c r="N6" t="s">
        <v>7</v>
      </c>
      <c r="O6">
        <v>21</v>
      </c>
      <c r="P6">
        <v>10</v>
      </c>
      <c r="Q6">
        <f t="shared" si="0"/>
        <v>90</v>
      </c>
      <c r="R6">
        <v>4.8347040000000003</v>
      </c>
      <c r="S6">
        <v>2.2988129093756999</v>
      </c>
    </row>
    <row r="7" spans="2:19" x14ac:dyDescent="0.25">
      <c r="B7" t="s">
        <v>6</v>
      </c>
      <c r="C7">
        <v>21</v>
      </c>
      <c r="D7">
        <v>20</v>
      </c>
      <c r="E7">
        <f t="shared" ref="E7:E12" si="1">100-D7</f>
        <v>80</v>
      </c>
      <c r="F7">
        <v>2.7958639999999999</v>
      </c>
      <c r="G7">
        <v>1.4184861175346699</v>
      </c>
      <c r="N7" t="s">
        <v>7</v>
      </c>
      <c r="O7">
        <v>21</v>
      </c>
      <c r="P7">
        <v>20</v>
      </c>
      <c r="Q7">
        <f t="shared" si="0"/>
        <v>80</v>
      </c>
      <c r="R7">
        <v>4.3712910000000003</v>
      </c>
      <c r="S7">
        <v>3.6432706641207502</v>
      </c>
    </row>
    <row r="8" spans="2:19" x14ac:dyDescent="0.25">
      <c r="B8" t="s">
        <v>6</v>
      </c>
      <c r="C8">
        <v>21</v>
      </c>
      <c r="D8">
        <v>30</v>
      </c>
      <c r="E8">
        <f t="shared" si="1"/>
        <v>70</v>
      </c>
      <c r="F8">
        <v>2.6156980000000001</v>
      </c>
      <c r="G8">
        <v>0.905926415293826</v>
      </c>
      <c r="N8" t="s">
        <v>7</v>
      </c>
      <c r="O8">
        <v>21</v>
      </c>
      <c r="P8">
        <v>30</v>
      </c>
      <c r="Q8">
        <f t="shared" si="0"/>
        <v>70</v>
      </c>
      <c r="R8">
        <v>4.2547750000000004</v>
      </c>
      <c r="S8">
        <v>2.2010869898157002</v>
      </c>
    </row>
    <row r="9" spans="2:19" x14ac:dyDescent="0.25">
      <c r="B9" t="s">
        <v>6</v>
      </c>
      <c r="C9">
        <v>21</v>
      </c>
      <c r="D9">
        <v>40</v>
      </c>
      <c r="E9">
        <f t="shared" si="1"/>
        <v>60</v>
      </c>
      <c r="F9">
        <v>2.6647919999999998</v>
      </c>
      <c r="G9">
        <v>4.5529622435758501</v>
      </c>
      <c r="N9" s="1" t="s">
        <v>7</v>
      </c>
      <c r="O9" s="1">
        <v>21</v>
      </c>
      <c r="P9" s="1">
        <v>35</v>
      </c>
      <c r="Q9" s="1">
        <f t="shared" si="0"/>
        <v>65</v>
      </c>
      <c r="R9" s="1">
        <v>4.4560950000000004</v>
      </c>
      <c r="S9" s="1">
        <v>5.4760434474344102</v>
      </c>
    </row>
    <row r="10" spans="2:19" x14ac:dyDescent="0.25">
      <c r="B10" t="s">
        <v>6</v>
      </c>
      <c r="C10">
        <v>21</v>
      </c>
      <c r="D10">
        <v>45</v>
      </c>
      <c r="E10">
        <f t="shared" si="1"/>
        <v>55</v>
      </c>
      <c r="F10">
        <v>2.926647</v>
      </c>
      <c r="G10">
        <v>7.8693414801705703</v>
      </c>
      <c r="N10" t="s">
        <v>7</v>
      </c>
      <c r="O10">
        <v>21</v>
      </c>
      <c r="P10">
        <v>36</v>
      </c>
      <c r="Q10">
        <f t="shared" si="0"/>
        <v>64</v>
      </c>
      <c r="R10">
        <v>4.389259</v>
      </c>
      <c r="S10">
        <v>12.5512699754471</v>
      </c>
    </row>
    <row r="11" spans="2:19" x14ac:dyDescent="0.25">
      <c r="B11" s="1" t="s">
        <v>6</v>
      </c>
      <c r="C11" s="1">
        <v>21</v>
      </c>
      <c r="D11" s="1">
        <v>48</v>
      </c>
      <c r="E11" s="1">
        <f t="shared" si="1"/>
        <v>52</v>
      </c>
      <c r="F11" s="1">
        <v>2.6228349999999998</v>
      </c>
      <c r="G11" s="1">
        <v>8.6903235172854991</v>
      </c>
      <c r="N11" t="s">
        <v>7</v>
      </c>
      <c r="O11">
        <v>21</v>
      </c>
      <c r="P11">
        <v>37</v>
      </c>
      <c r="Q11">
        <f t="shared" si="0"/>
        <v>63</v>
      </c>
      <c r="R11">
        <v>4.3112190000000004</v>
      </c>
      <c r="S11">
        <v>16.030904908420599</v>
      </c>
    </row>
    <row r="12" spans="2:19" x14ac:dyDescent="0.25">
      <c r="B12" t="s">
        <v>6</v>
      </c>
      <c r="C12">
        <v>21</v>
      </c>
      <c r="D12">
        <v>49</v>
      </c>
      <c r="E12">
        <f t="shared" si="1"/>
        <v>51</v>
      </c>
      <c r="F12">
        <v>2.5926529999999999</v>
      </c>
      <c r="G12">
        <v>11.7831520673878</v>
      </c>
      <c r="N12" t="s">
        <v>7</v>
      </c>
      <c r="O12">
        <v>21</v>
      </c>
      <c r="P12">
        <v>40</v>
      </c>
      <c r="Q12">
        <f t="shared" si="0"/>
        <v>60</v>
      </c>
      <c r="R12">
        <v>4.1599380000000004</v>
      </c>
      <c r="S12">
        <v>23.485404923074899</v>
      </c>
    </row>
    <row r="13" spans="2:19" x14ac:dyDescent="0.25">
      <c r="B13" t="s">
        <v>6</v>
      </c>
      <c r="C13">
        <v>21</v>
      </c>
      <c r="D13">
        <v>50</v>
      </c>
      <c r="E13">
        <f>100-D13</f>
        <v>50</v>
      </c>
      <c r="F13">
        <v>2.4428839999999998</v>
      </c>
      <c r="G13">
        <v>11.928140429652601</v>
      </c>
    </row>
    <row r="17" spans="2:19" x14ac:dyDescent="0.25">
      <c r="B17" t="s">
        <v>6</v>
      </c>
      <c r="C17">
        <v>67</v>
      </c>
      <c r="D17">
        <v>20</v>
      </c>
      <c r="E17">
        <f>100-D17</f>
        <v>80</v>
      </c>
      <c r="F17">
        <v>3.2487699999999999</v>
      </c>
      <c r="G17">
        <v>0.69129910410225104</v>
      </c>
      <c r="N17" t="s">
        <v>8</v>
      </c>
      <c r="O17">
        <v>67</v>
      </c>
      <c r="P17">
        <v>20</v>
      </c>
      <c r="Q17">
        <f>100-P17</f>
        <v>80</v>
      </c>
      <c r="R17">
        <v>5.7112119999999997</v>
      </c>
      <c r="S17">
        <v>7.2842505714316399</v>
      </c>
    </row>
    <row r="18" spans="2:19" x14ac:dyDescent="0.25">
      <c r="B18" t="s">
        <v>6</v>
      </c>
      <c r="C18">
        <v>67</v>
      </c>
      <c r="D18">
        <v>30</v>
      </c>
      <c r="E18">
        <f>100-D18</f>
        <v>70</v>
      </c>
      <c r="F18">
        <v>3.482208</v>
      </c>
      <c r="G18">
        <v>1.1069358866452399</v>
      </c>
      <c r="N18" t="s">
        <v>8</v>
      </c>
      <c r="O18">
        <v>67</v>
      </c>
      <c r="P18">
        <v>30</v>
      </c>
      <c r="Q18">
        <f t="shared" ref="Q18:Q25" si="2">100-P18</f>
        <v>70</v>
      </c>
      <c r="R18">
        <v>5.3167619999999998</v>
      </c>
      <c r="S18">
        <v>4.9779637684256599</v>
      </c>
    </row>
    <row r="19" spans="2:19" x14ac:dyDescent="0.25">
      <c r="B19" t="s">
        <v>6</v>
      </c>
      <c r="C19">
        <v>67</v>
      </c>
      <c r="D19">
        <v>40</v>
      </c>
      <c r="E19">
        <f t="shared" ref="E19:E38" si="3">100-D19</f>
        <v>60</v>
      </c>
      <c r="F19">
        <v>3.4299849999999998</v>
      </c>
      <c r="G19">
        <v>1.18877781603857</v>
      </c>
      <c r="N19" t="s">
        <v>8</v>
      </c>
      <c r="O19">
        <v>67</v>
      </c>
      <c r="P19">
        <v>40</v>
      </c>
      <c r="Q19">
        <f t="shared" si="2"/>
        <v>60</v>
      </c>
      <c r="R19">
        <v>4.5033779999999997</v>
      </c>
      <c r="S19">
        <v>5.5834070469643802</v>
      </c>
    </row>
    <row r="20" spans="2:19" x14ac:dyDescent="0.25">
      <c r="B20" t="s">
        <v>6</v>
      </c>
      <c r="C20">
        <v>67</v>
      </c>
      <c r="D20">
        <v>50</v>
      </c>
      <c r="E20">
        <f t="shared" si="3"/>
        <v>50</v>
      </c>
      <c r="F20">
        <v>3.4058489999999999</v>
      </c>
      <c r="G20">
        <v>2.7266323328228901</v>
      </c>
      <c r="N20" t="s">
        <v>8</v>
      </c>
      <c r="O20">
        <v>67</v>
      </c>
      <c r="P20">
        <v>50</v>
      </c>
      <c r="Q20">
        <f t="shared" si="2"/>
        <v>50</v>
      </c>
      <c r="R20">
        <v>5.1953639999999996</v>
      </c>
      <c r="S20">
        <v>6.5066298978819299</v>
      </c>
    </row>
    <row r="21" spans="2:19" x14ac:dyDescent="0.25">
      <c r="B21" t="s">
        <v>6</v>
      </c>
      <c r="C21">
        <v>67</v>
      </c>
      <c r="D21">
        <v>60</v>
      </c>
      <c r="E21">
        <f t="shared" si="3"/>
        <v>40</v>
      </c>
      <c r="F21">
        <v>3.691735</v>
      </c>
      <c r="G21">
        <v>3.7693711555082201</v>
      </c>
      <c r="N21" t="s">
        <v>8</v>
      </c>
      <c r="O21">
        <v>67</v>
      </c>
      <c r="P21">
        <v>60</v>
      </c>
      <c r="Q21">
        <f t="shared" si="2"/>
        <v>40</v>
      </c>
      <c r="R21">
        <v>5.13802</v>
      </c>
      <c r="S21">
        <v>7.2577161126945002</v>
      </c>
    </row>
    <row r="22" spans="2:19" x14ac:dyDescent="0.25">
      <c r="B22" t="s">
        <v>6</v>
      </c>
      <c r="C22">
        <v>67</v>
      </c>
      <c r="D22">
        <v>70</v>
      </c>
      <c r="E22">
        <f t="shared" si="3"/>
        <v>30</v>
      </c>
      <c r="F22">
        <v>3.575536</v>
      </c>
      <c r="G22">
        <v>5.5386694347744001</v>
      </c>
      <c r="N22" t="s">
        <v>8</v>
      </c>
      <c r="O22">
        <v>67</v>
      </c>
      <c r="P22">
        <v>70</v>
      </c>
      <c r="Q22">
        <f t="shared" si="2"/>
        <v>30</v>
      </c>
      <c r="R22">
        <v>4.9762510000000004</v>
      </c>
      <c r="S22">
        <v>6.9350889929584598</v>
      </c>
    </row>
    <row r="23" spans="2:19" x14ac:dyDescent="0.25">
      <c r="B23" t="s">
        <v>6</v>
      </c>
      <c r="C23">
        <v>67</v>
      </c>
      <c r="D23">
        <v>80</v>
      </c>
      <c r="E23">
        <f t="shared" si="3"/>
        <v>20</v>
      </c>
      <c r="F23">
        <v>3.3602590000000001</v>
      </c>
      <c r="G23">
        <v>5.9031720958882801</v>
      </c>
      <c r="N23" t="s">
        <v>8</v>
      </c>
      <c r="O23">
        <v>67</v>
      </c>
      <c r="P23">
        <v>75</v>
      </c>
      <c r="Q23">
        <f t="shared" si="2"/>
        <v>25</v>
      </c>
      <c r="R23">
        <v>5.0394189999999996</v>
      </c>
      <c r="S23">
        <v>7.5579850603140803</v>
      </c>
    </row>
    <row r="24" spans="2:19" x14ac:dyDescent="0.25">
      <c r="B24" s="1" t="s">
        <v>6</v>
      </c>
      <c r="C24" s="1">
        <v>67</v>
      </c>
      <c r="D24" s="1">
        <v>83</v>
      </c>
      <c r="E24" s="1">
        <f t="shared" si="3"/>
        <v>17</v>
      </c>
      <c r="F24" s="1">
        <v>3.2616860000000001</v>
      </c>
      <c r="G24" s="1">
        <v>6.0067031799196302</v>
      </c>
      <c r="N24" t="s">
        <v>8</v>
      </c>
      <c r="O24">
        <v>67</v>
      </c>
      <c r="P24">
        <v>77</v>
      </c>
      <c r="Q24">
        <f t="shared" si="2"/>
        <v>23</v>
      </c>
      <c r="R24">
        <v>4.9568589999999997</v>
      </c>
      <c r="S24">
        <v>9.4707476754460203</v>
      </c>
    </row>
    <row r="25" spans="2:19" x14ac:dyDescent="0.25">
      <c r="B25" t="s">
        <v>6</v>
      </c>
      <c r="C25">
        <v>67</v>
      </c>
      <c r="D25">
        <v>84</v>
      </c>
      <c r="E25">
        <f t="shared" si="3"/>
        <v>16</v>
      </c>
      <c r="F25">
        <v>3.455228</v>
      </c>
      <c r="G25">
        <v>10.480366080204099</v>
      </c>
      <c r="N25" s="1" t="s">
        <v>8</v>
      </c>
      <c r="O25" s="1">
        <v>67</v>
      </c>
      <c r="P25" s="1">
        <v>78</v>
      </c>
      <c r="Q25" s="1">
        <f t="shared" si="2"/>
        <v>22</v>
      </c>
      <c r="R25" s="1">
        <v>4.947902</v>
      </c>
      <c r="S25" s="1">
        <v>9.5094374606762599</v>
      </c>
    </row>
    <row r="26" spans="2:19" x14ac:dyDescent="0.25">
      <c r="B26" t="s">
        <v>6</v>
      </c>
      <c r="C26">
        <v>67</v>
      </c>
      <c r="D26">
        <v>85</v>
      </c>
      <c r="E26">
        <f t="shared" si="3"/>
        <v>15</v>
      </c>
      <c r="F26">
        <v>3.3942190000000001</v>
      </c>
      <c r="G26">
        <v>10.693295137317101</v>
      </c>
      <c r="N26" t="s">
        <v>8</v>
      </c>
      <c r="O26">
        <v>67</v>
      </c>
      <c r="P26">
        <v>79</v>
      </c>
      <c r="Q26">
        <f>100-P26</f>
        <v>21</v>
      </c>
      <c r="R26">
        <v>4.1797810000000002</v>
      </c>
      <c r="S26">
        <v>10.242175155962901</v>
      </c>
    </row>
    <row r="27" spans="2:19" x14ac:dyDescent="0.25">
      <c r="B27" t="s">
        <v>6</v>
      </c>
      <c r="C27">
        <v>67</v>
      </c>
      <c r="D27">
        <v>90</v>
      </c>
      <c r="E27">
        <f t="shared" si="3"/>
        <v>10</v>
      </c>
      <c r="F27">
        <v>3.3427410000000002</v>
      </c>
      <c r="G27">
        <v>20.1677495298506</v>
      </c>
      <c r="N27" t="s">
        <v>8</v>
      </c>
      <c r="O27">
        <v>67</v>
      </c>
      <c r="P27">
        <v>80</v>
      </c>
      <c r="Q27">
        <f>100-P27</f>
        <v>20</v>
      </c>
      <c r="R27">
        <v>5.0800890000000001</v>
      </c>
      <c r="S27">
        <v>17.1032370768324</v>
      </c>
    </row>
    <row r="31" spans="2:19" x14ac:dyDescent="0.25">
      <c r="B31" t="s">
        <v>6</v>
      </c>
      <c r="C31">
        <v>273</v>
      </c>
      <c r="D31">
        <v>20</v>
      </c>
      <c r="E31">
        <f t="shared" si="3"/>
        <v>80</v>
      </c>
      <c r="F31">
        <v>3.4166850000000002</v>
      </c>
      <c r="G31">
        <v>0.69516535308817295</v>
      </c>
      <c r="N31" t="s">
        <v>7</v>
      </c>
      <c r="O31">
        <v>273</v>
      </c>
      <c r="P31">
        <v>20</v>
      </c>
      <c r="Q31">
        <f>100-P31</f>
        <v>80</v>
      </c>
      <c r="R31">
        <v>5.3928640000000003</v>
      </c>
      <c r="S31">
        <v>2.2598119140575199</v>
      </c>
    </row>
    <row r="32" spans="2:19" x14ac:dyDescent="0.25">
      <c r="B32" t="s">
        <v>6</v>
      </c>
      <c r="C32">
        <v>273</v>
      </c>
      <c r="D32">
        <v>30</v>
      </c>
      <c r="E32">
        <f t="shared" si="3"/>
        <v>70</v>
      </c>
      <c r="F32">
        <v>3.493706</v>
      </c>
      <c r="G32">
        <v>0.99785228403622295</v>
      </c>
      <c r="N32" s="1" t="s">
        <v>7</v>
      </c>
      <c r="O32" s="1">
        <v>273</v>
      </c>
      <c r="P32" s="1">
        <v>25</v>
      </c>
      <c r="Q32" s="1">
        <f>100-P32</f>
        <v>75</v>
      </c>
      <c r="R32" s="1">
        <v>5.2150619999999996</v>
      </c>
      <c r="S32" s="1">
        <v>3.91802615221803</v>
      </c>
    </row>
    <row r="33" spans="2:19" x14ac:dyDescent="0.25">
      <c r="B33" t="s">
        <v>6</v>
      </c>
      <c r="C33">
        <v>273</v>
      </c>
      <c r="D33">
        <v>40</v>
      </c>
      <c r="E33">
        <f t="shared" si="3"/>
        <v>60</v>
      </c>
      <c r="F33">
        <v>3.4669599999999998</v>
      </c>
      <c r="G33">
        <v>1.5542077493008799</v>
      </c>
      <c r="N33" t="s">
        <v>7</v>
      </c>
      <c r="O33">
        <v>273</v>
      </c>
      <c r="P33">
        <v>26</v>
      </c>
      <c r="Q33">
        <f>100-P33</f>
        <v>74</v>
      </c>
      <c r="R33">
        <v>5.4026899999999998</v>
      </c>
      <c r="S33">
        <v>13.477544804007399</v>
      </c>
    </row>
    <row r="34" spans="2:19" x14ac:dyDescent="0.25">
      <c r="B34" t="s">
        <v>6</v>
      </c>
      <c r="C34">
        <v>273</v>
      </c>
      <c r="D34">
        <v>50</v>
      </c>
      <c r="E34">
        <f t="shared" si="3"/>
        <v>50</v>
      </c>
      <c r="F34">
        <v>3.5209009999999998</v>
      </c>
      <c r="G34">
        <v>4.3247808644527996</v>
      </c>
      <c r="N34" t="s">
        <v>7</v>
      </c>
      <c r="O34">
        <v>273</v>
      </c>
      <c r="P34">
        <v>27</v>
      </c>
      <c r="Q34">
        <f>100-P34</f>
        <v>73</v>
      </c>
      <c r="R34">
        <v>5.2237140000000002</v>
      </c>
      <c r="S34">
        <v>12.254725152983999</v>
      </c>
    </row>
    <row r="35" spans="2:19" x14ac:dyDescent="0.25">
      <c r="B35" s="1" t="s">
        <v>6</v>
      </c>
      <c r="C35" s="1">
        <v>273</v>
      </c>
      <c r="D35" s="1">
        <v>53</v>
      </c>
      <c r="E35" s="1">
        <f t="shared" si="3"/>
        <v>47</v>
      </c>
      <c r="F35" s="1">
        <v>3.6453669999999998</v>
      </c>
      <c r="G35" s="1">
        <v>8.8747748463273997</v>
      </c>
    </row>
    <row r="36" spans="2:19" x14ac:dyDescent="0.25">
      <c r="B36" t="s">
        <v>6</v>
      </c>
      <c r="C36">
        <v>273</v>
      </c>
      <c r="D36">
        <v>54</v>
      </c>
      <c r="E36">
        <f t="shared" si="3"/>
        <v>46</v>
      </c>
      <c r="F36">
        <v>3.4838770000000001</v>
      </c>
      <c r="G36">
        <v>16.367180013426299</v>
      </c>
    </row>
    <row r="37" spans="2:19" x14ac:dyDescent="0.25">
      <c r="B37" t="s">
        <v>6</v>
      </c>
      <c r="C37">
        <v>273</v>
      </c>
      <c r="D37">
        <v>55</v>
      </c>
      <c r="E37">
        <f t="shared" si="3"/>
        <v>45</v>
      </c>
      <c r="F37">
        <v>3.438688</v>
      </c>
      <c r="G37">
        <v>14.9658611276532</v>
      </c>
    </row>
    <row r="38" spans="2:19" x14ac:dyDescent="0.25">
      <c r="B38" t="s">
        <v>6</v>
      </c>
      <c r="C38">
        <v>273</v>
      </c>
      <c r="D38">
        <v>60</v>
      </c>
      <c r="E38">
        <f t="shared" si="3"/>
        <v>40</v>
      </c>
      <c r="F38">
        <v>2.5063580000000001</v>
      </c>
      <c r="G38">
        <v>29.667021738965399</v>
      </c>
    </row>
    <row r="39" spans="2:19" x14ac:dyDescent="0.25">
      <c r="N39" t="s">
        <v>9</v>
      </c>
      <c r="O39">
        <v>21</v>
      </c>
      <c r="P39">
        <v>20</v>
      </c>
      <c r="Q39">
        <f>100-P39</f>
        <v>80</v>
      </c>
      <c r="R39">
        <v>4.7831489999999999</v>
      </c>
      <c r="S39">
        <v>0.99760904681600104</v>
      </c>
    </row>
    <row r="40" spans="2:19" x14ac:dyDescent="0.25">
      <c r="N40" t="s">
        <v>9</v>
      </c>
      <c r="O40">
        <v>21</v>
      </c>
      <c r="P40">
        <v>30</v>
      </c>
      <c r="Q40">
        <f>100-P40</f>
        <v>70</v>
      </c>
      <c r="R40">
        <v>4.5763590000000001</v>
      </c>
      <c r="S40">
        <v>1.0065346515301701</v>
      </c>
    </row>
    <row r="41" spans="2:19" x14ac:dyDescent="0.25">
      <c r="N41" t="s">
        <v>9</v>
      </c>
      <c r="O41">
        <v>21</v>
      </c>
      <c r="P41">
        <v>40</v>
      </c>
      <c r="Q41">
        <f>100-P41</f>
        <v>60</v>
      </c>
      <c r="R41">
        <v>5.4477669999999998</v>
      </c>
      <c r="S41">
        <v>0.89126402988916698</v>
      </c>
    </row>
    <row r="42" spans="2:19" x14ac:dyDescent="0.25">
      <c r="N42" t="s">
        <v>9</v>
      </c>
      <c r="O42">
        <v>21</v>
      </c>
      <c r="P42">
        <v>50</v>
      </c>
      <c r="Q42">
        <f>100-P42</f>
        <v>50</v>
      </c>
      <c r="R42">
        <v>5.7633320000000001</v>
      </c>
      <c r="S42">
        <v>2.37809584047148</v>
      </c>
    </row>
    <row r="43" spans="2:19" x14ac:dyDescent="0.25">
      <c r="N43" t="s">
        <v>9</v>
      </c>
      <c r="O43">
        <v>21</v>
      </c>
      <c r="P43">
        <v>60</v>
      </c>
      <c r="Q43">
        <f t="shared" ref="Q43:Q49" si="4">100-P43</f>
        <v>40</v>
      </c>
      <c r="R43">
        <v>5.2267419999999998</v>
      </c>
      <c r="S43">
        <v>3.1265392961331799</v>
      </c>
    </row>
    <row r="44" spans="2:19" x14ac:dyDescent="0.25">
      <c r="N44" t="s">
        <v>9</v>
      </c>
      <c r="O44">
        <v>21</v>
      </c>
      <c r="P44">
        <v>70</v>
      </c>
      <c r="Q44">
        <f t="shared" si="4"/>
        <v>30</v>
      </c>
      <c r="R44">
        <v>5.1972909999999999</v>
      </c>
      <c r="S44">
        <v>6.1579006351889296</v>
      </c>
    </row>
    <row r="45" spans="2:19" x14ac:dyDescent="0.25">
      <c r="N45" t="s">
        <v>9</v>
      </c>
      <c r="O45">
        <v>21</v>
      </c>
      <c r="P45">
        <v>75</v>
      </c>
      <c r="Q45">
        <f t="shared" si="4"/>
        <v>25</v>
      </c>
      <c r="R45">
        <v>5.1765559999999997</v>
      </c>
      <c r="S45">
        <v>7.2529884583681898</v>
      </c>
    </row>
    <row r="46" spans="2:19" x14ac:dyDescent="0.25">
      <c r="N46" t="s">
        <v>9</v>
      </c>
      <c r="O46">
        <v>21</v>
      </c>
      <c r="P46">
        <v>77</v>
      </c>
      <c r="Q46">
        <f t="shared" si="4"/>
        <v>23</v>
      </c>
      <c r="R46">
        <v>5.114509</v>
      </c>
      <c r="S46">
        <v>9.0335425073431601</v>
      </c>
    </row>
    <row r="47" spans="2:19" x14ac:dyDescent="0.25">
      <c r="N47" s="1" t="s">
        <v>9</v>
      </c>
      <c r="O47" s="1">
        <v>21</v>
      </c>
      <c r="P47" s="1">
        <v>78</v>
      </c>
      <c r="Q47" s="1">
        <f t="shared" si="4"/>
        <v>22</v>
      </c>
      <c r="R47" s="1">
        <v>5.1010059999999999</v>
      </c>
      <c r="S47" s="1">
        <v>9.8253601474948091</v>
      </c>
    </row>
    <row r="48" spans="2:19" x14ac:dyDescent="0.25">
      <c r="N48" t="s">
        <v>9</v>
      </c>
      <c r="O48">
        <v>21</v>
      </c>
      <c r="P48">
        <v>79</v>
      </c>
      <c r="Q48">
        <f t="shared" si="4"/>
        <v>21</v>
      </c>
      <c r="R48">
        <v>5.1766870000000003</v>
      </c>
      <c r="S48">
        <v>10.549883055164599</v>
      </c>
    </row>
    <row r="49" spans="14:19" x14ac:dyDescent="0.25">
      <c r="N49" t="s">
        <v>9</v>
      </c>
      <c r="O49">
        <v>21</v>
      </c>
      <c r="P49">
        <v>80</v>
      </c>
      <c r="Q49">
        <f t="shared" si="4"/>
        <v>20</v>
      </c>
      <c r="R49">
        <v>5.0735060000000001</v>
      </c>
      <c r="S49">
        <v>14.3199733172543</v>
      </c>
    </row>
    <row r="53" spans="14:19" x14ac:dyDescent="0.25">
      <c r="N53" t="s">
        <v>9</v>
      </c>
      <c r="O53">
        <v>67</v>
      </c>
      <c r="P53">
        <v>20</v>
      </c>
      <c r="Q53">
        <f>100-P53</f>
        <v>80</v>
      </c>
      <c r="R53">
        <v>4.6108339999999997</v>
      </c>
      <c r="S53">
        <v>0.93373527411352097</v>
      </c>
    </row>
    <row r="54" spans="14:19" x14ac:dyDescent="0.25">
      <c r="N54" t="s">
        <v>9</v>
      </c>
      <c r="O54">
        <v>67</v>
      </c>
      <c r="P54">
        <v>30</v>
      </c>
      <c r="Q54">
        <f t="shared" ref="Q54:Q63" si="5">100-P54</f>
        <v>70</v>
      </c>
      <c r="R54">
        <v>5.4909420000000004</v>
      </c>
      <c r="S54">
        <v>0.91936023779731402</v>
      </c>
    </row>
    <row r="55" spans="14:19" x14ac:dyDescent="0.25">
      <c r="N55" t="s">
        <v>9</v>
      </c>
      <c r="O55">
        <v>67</v>
      </c>
      <c r="P55">
        <v>40</v>
      </c>
      <c r="Q55">
        <f>100-P55</f>
        <v>60</v>
      </c>
      <c r="R55">
        <v>5.3027069999999998</v>
      </c>
      <c r="S55">
        <v>0.82539401545065505</v>
      </c>
    </row>
    <row r="56" spans="14:19" x14ac:dyDescent="0.25">
      <c r="N56" t="s">
        <v>9</v>
      </c>
      <c r="O56">
        <v>67</v>
      </c>
      <c r="P56">
        <v>50</v>
      </c>
      <c r="Q56">
        <f t="shared" si="5"/>
        <v>50</v>
      </c>
      <c r="R56">
        <v>5.4244450000000004</v>
      </c>
      <c r="S56">
        <v>1.0469934304324999</v>
      </c>
    </row>
    <row r="57" spans="14:19" x14ac:dyDescent="0.25">
      <c r="N57" t="s">
        <v>9</v>
      </c>
      <c r="O57">
        <v>67</v>
      </c>
      <c r="P57">
        <v>60</v>
      </c>
      <c r="Q57">
        <f t="shared" si="5"/>
        <v>40</v>
      </c>
      <c r="R57">
        <v>4.4565200000000003</v>
      </c>
      <c r="S57">
        <v>0.77613825745051002</v>
      </c>
    </row>
    <row r="58" spans="14:19" x14ac:dyDescent="0.25">
      <c r="N58" t="s">
        <v>9</v>
      </c>
      <c r="O58">
        <v>67</v>
      </c>
      <c r="P58">
        <v>70</v>
      </c>
      <c r="Q58">
        <f t="shared" si="5"/>
        <v>30</v>
      </c>
      <c r="R58">
        <v>4.2989699999999997</v>
      </c>
      <c r="S58">
        <v>1.7114258719405899</v>
      </c>
    </row>
    <row r="59" spans="14:19" x14ac:dyDescent="0.25">
      <c r="N59" t="s">
        <v>9</v>
      </c>
      <c r="O59">
        <v>67</v>
      </c>
      <c r="P59">
        <v>80</v>
      </c>
      <c r="Q59">
        <f t="shared" si="5"/>
        <v>20</v>
      </c>
      <c r="R59">
        <v>5.0313850000000002</v>
      </c>
      <c r="S59">
        <v>3.24971676620381</v>
      </c>
    </row>
    <row r="60" spans="14:19" x14ac:dyDescent="0.25">
      <c r="N60" t="s">
        <v>9</v>
      </c>
      <c r="O60">
        <v>67</v>
      </c>
      <c r="P60">
        <v>85</v>
      </c>
      <c r="Q60">
        <f t="shared" si="5"/>
        <v>15</v>
      </c>
      <c r="R60">
        <v>5.2837909999999999</v>
      </c>
      <c r="S60">
        <v>3.16824398744181</v>
      </c>
    </row>
    <row r="61" spans="14:19" x14ac:dyDescent="0.25">
      <c r="N61" t="s">
        <v>9</v>
      </c>
      <c r="O61">
        <v>67</v>
      </c>
      <c r="P61">
        <v>87</v>
      </c>
      <c r="Q61">
        <f t="shared" si="5"/>
        <v>13</v>
      </c>
      <c r="R61">
        <v>5.0242760000000004</v>
      </c>
      <c r="S61">
        <v>4.5918585161555301</v>
      </c>
    </row>
    <row r="62" spans="14:19" x14ac:dyDescent="0.25">
      <c r="N62" s="1" t="s">
        <v>9</v>
      </c>
      <c r="O62" s="1">
        <v>67</v>
      </c>
      <c r="P62" s="1">
        <v>88</v>
      </c>
      <c r="Q62" s="1">
        <f t="shared" si="5"/>
        <v>12</v>
      </c>
      <c r="R62" s="1">
        <v>5.1768099999999997</v>
      </c>
      <c r="S62" s="1">
        <v>4.8452502257911698</v>
      </c>
    </row>
    <row r="63" spans="14:19" x14ac:dyDescent="0.25">
      <c r="N63" t="s">
        <v>9</v>
      </c>
      <c r="O63">
        <v>67</v>
      </c>
      <c r="P63">
        <v>89</v>
      </c>
      <c r="Q63">
        <f t="shared" si="5"/>
        <v>11</v>
      </c>
      <c r="R63">
        <v>4.1255280000000001</v>
      </c>
      <c r="S63">
        <v>10.2001333564059</v>
      </c>
    </row>
    <row r="64" spans="14:19" x14ac:dyDescent="0.25">
      <c r="N64" t="s">
        <v>9</v>
      </c>
      <c r="O64">
        <v>67</v>
      </c>
      <c r="P64">
        <v>90</v>
      </c>
      <c r="Q64">
        <f>100-P64</f>
        <v>10</v>
      </c>
      <c r="R64">
        <v>4.1121280000000002</v>
      </c>
      <c r="S64">
        <v>28.014397210136899</v>
      </c>
    </row>
    <row r="68" spans="14:19" x14ac:dyDescent="0.25">
      <c r="N68" t="s">
        <v>9</v>
      </c>
      <c r="O68">
        <v>273</v>
      </c>
      <c r="P68">
        <v>30</v>
      </c>
      <c r="Q68">
        <f t="shared" ref="Q68:Q75" si="6">100-P68</f>
        <v>70</v>
      </c>
      <c r="R68">
        <v>4.7129079999999997</v>
      </c>
      <c r="S68">
        <v>1.1228442947705499</v>
      </c>
    </row>
    <row r="69" spans="14:19" x14ac:dyDescent="0.25">
      <c r="N69" t="s">
        <v>9</v>
      </c>
      <c r="O69">
        <v>273</v>
      </c>
      <c r="P69">
        <v>40</v>
      </c>
      <c r="Q69">
        <f t="shared" si="6"/>
        <v>60</v>
      </c>
      <c r="R69">
        <v>5.3871890000000002</v>
      </c>
      <c r="S69">
        <v>1.1951515114933999</v>
      </c>
    </row>
    <row r="70" spans="14:19" x14ac:dyDescent="0.25">
      <c r="N70" t="s">
        <v>9</v>
      </c>
      <c r="O70">
        <v>273</v>
      </c>
      <c r="P70">
        <v>50</v>
      </c>
      <c r="Q70">
        <f t="shared" si="6"/>
        <v>50</v>
      </c>
      <c r="R70">
        <v>5.4421879999999998</v>
      </c>
      <c r="S70">
        <v>2.61992975582397</v>
      </c>
    </row>
    <row r="71" spans="14:19" x14ac:dyDescent="0.25">
      <c r="N71" t="s">
        <v>9</v>
      </c>
      <c r="O71">
        <v>273</v>
      </c>
      <c r="P71">
        <v>60</v>
      </c>
      <c r="Q71">
        <f t="shared" si="6"/>
        <v>40</v>
      </c>
      <c r="R71">
        <v>5.1775969999999996</v>
      </c>
      <c r="S71">
        <v>6.2457105315647201</v>
      </c>
    </row>
    <row r="72" spans="14:19" x14ac:dyDescent="0.25">
      <c r="N72" t="s">
        <v>9</v>
      </c>
      <c r="O72">
        <v>273</v>
      </c>
      <c r="P72">
        <v>70</v>
      </c>
      <c r="Q72">
        <f t="shared" si="6"/>
        <v>30</v>
      </c>
      <c r="R72">
        <v>5.296907</v>
      </c>
      <c r="S72">
        <v>9.7065036533056794</v>
      </c>
    </row>
    <row r="73" spans="14:19" x14ac:dyDescent="0.25">
      <c r="N73" s="1" t="s">
        <v>9</v>
      </c>
      <c r="O73" s="1">
        <v>273</v>
      </c>
      <c r="P73" s="1">
        <v>72</v>
      </c>
      <c r="Q73" s="1">
        <f t="shared" si="6"/>
        <v>28</v>
      </c>
      <c r="R73" s="1">
        <v>5.0749230000000001</v>
      </c>
      <c r="S73" s="1">
        <v>8.91142816553171</v>
      </c>
    </row>
    <row r="74" spans="14:19" x14ac:dyDescent="0.25">
      <c r="N74" t="s">
        <v>9</v>
      </c>
      <c r="O74">
        <v>273</v>
      </c>
      <c r="P74">
        <v>73</v>
      </c>
      <c r="Q74">
        <f t="shared" si="6"/>
        <v>27</v>
      </c>
      <c r="R74">
        <v>5.1788550000000004</v>
      </c>
      <c r="S74">
        <v>14.236889424339999</v>
      </c>
    </row>
    <row r="75" spans="14:19" x14ac:dyDescent="0.25">
      <c r="N75" t="s">
        <v>9</v>
      </c>
      <c r="O75">
        <v>273</v>
      </c>
      <c r="P75">
        <v>75</v>
      </c>
      <c r="Q75">
        <f t="shared" si="6"/>
        <v>25</v>
      </c>
      <c r="R75">
        <v>4.4363099999999998</v>
      </c>
      <c r="S75">
        <v>19.241247246239499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CC28-49AB-4816-9D44-16BAEE3812B1}">
  <dimension ref="B1:G53"/>
  <sheetViews>
    <sheetView workbookViewId="0">
      <selection activeCell="M31" sqref="M31"/>
    </sheetView>
  </sheetViews>
  <sheetFormatPr defaultRowHeight="15" x14ac:dyDescent="0.25"/>
  <cols>
    <col min="6" max="6" width="17.85546875" customWidth="1"/>
    <col min="7" max="7" width="17.42578125" customWidth="1"/>
  </cols>
  <sheetData>
    <row r="1" spans="2:7" x14ac:dyDescent="0.25">
      <c r="B1" t="s">
        <v>16</v>
      </c>
    </row>
    <row r="3" spans="2:7" x14ac:dyDescent="0.25"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3</v>
      </c>
    </row>
    <row r="4" spans="2:7" x14ac:dyDescent="0.25">
      <c r="B4" t="s">
        <v>14</v>
      </c>
      <c r="C4">
        <v>21</v>
      </c>
      <c r="D4">
        <v>20</v>
      </c>
      <c r="E4">
        <f>100-D4</f>
        <v>80</v>
      </c>
      <c r="F4">
        <v>2.2910490000000001</v>
      </c>
      <c r="G4">
        <v>0.66784620677329598</v>
      </c>
    </row>
    <row r="5" spans="2:7" x14ac:dyDescent="0.25">
      <c r="B5" t="s">
        <v>14</v>
      </c>
      <c r="C5">
        <v>21</v>
      </c>
      <c r="D5">
        <v>30</v>
      </c>
      <c r="E5">
        <f>100-D5</f>
        <v>70</v>
      </c>
      <c r="F5">
        <v>2.3217240000000001</v>
      </c>
      <c r="G5">
        <v>0.70853928775367303</v>
      </c>
    </row>
    <row r="6" spans="2:7" x14ac:dyDescent="0.25">
      <c r="B6" t="s">
        <v>14</v>
      </c>
      <c r="C6">
        <v>21</v>
      </c>
      <c r="D6">
        <v>40</v>
      </c>
      <c r="E6">
        <f t="shared" ref="E6:E13" si="0">100-D6</f>
        <v>60</v>
      </c>
      <c r="F6">
        <v>2.2668650000000001</v>
      </c>
      <c r="G6">
        <v>1.25443899017931</v>
      </c>
    </row>
    <row r="7" spans="2:7" x14ac:dyDescent="0.25">
      <c r="B7" t="s">
        <v>14</v>
      </c>
      <c r="C7">
        <v>21</v>
      </c>
      <c r="D7">
        <v>50</v>
      </c>
      <c r="E7">
        <f t="shared" si="0"/>
        <v>50</v>
      </c>
      <c r="F7">
        <v>2.4100090000000001</v>
      </c>
      <c r="G7">
        <v>2.8569256294800001</v>
      </c>
    </row>
    <row r="8" spans="2:7" x14ac:dyDescent="0.25">
      <c r="B8" t="s">
        <v>14</v>
      </c>
      <c r="C8">
        <v>21</v>
      </c>
      <c r="D8">
        <v>60</v>
      </c>
      <c r="E8">
        <f t="shared" si="0"/>
        <v>40</v>
      </c>
      <c r="F8">
        <v>2.1210339999999999</v>
      </c>
      <c r="G8">
        <v>2.8941255894790898</v>
      </c>
    </row>
    <row r="9" spans="2:7" x14ac:dyDescent="0.25">
      <c r="B9" t="s">
        <v>14</v>
      </c>
      <c r="C9">
        <v>21</v>
      </c>
      <c r="D9">
        <v>61</v>
      </c>
      <c r="E9">
        <f t="shared" si="0"/>
        <v>39</v>
      </c>
      <c r="F9">
        <v>2.1560139999999999</v>
      </c>
      <c r="G9">
        <v>2.7754621558369199</v>
      </c>
    </row>
    <row r="10" spans="2:7" x14ac:dyDescent="0.25">
      <c r="B10" s="1" t="s">
        <v>14</v>
      </c>
      <c r="C10" s="1">
        <v>21</v>
      </c>
      <c r="D10" s="1">
        <v>62</v>
      </c>
      <c r="E10" s="1">
        <f t="shared" si="0"/>
        <v>38</v>
      </c>
      <c r="F10" s="1">
        <v>2.195262</v>
      </c>
      <c r="G10" s="1">
        <v>2.8984338375273699</v>
      </c>
    </row>
    <row r="11" spans="2:7" x14ac:dyDescent="0.25">
      <c r="B11" t="s">
        <v>14</v>
      </c>
      <c r="C11">
        <v>21</v>
      </c>
      <c r="D11">
        <v>63</v>
      </c>
      <c r="E11">
        <f t="shared" si="0"/>
        <v>37</v>
      </c>
      <c r="F11">
        <v>2.1664560000000002</v>
      </c>
      <c r="G11">
        <v>46.634121019323601</v>
      </c>
    </row>
    <row r="12" spans="2:7" x14ac:dyDescent="0.25">
      <c r="B12" t="s">
        <v>14</v>
      </c>
      <c r="C12">
        <v>21</v>
      </c>
      <c r="D12">
        <v>65</v>
      </c>
      <c r="E12">
        <f t="shared" si="0"/>
        <v>35</v>
      </c>
      <c r="F12">
        <v>2.076549</v>
      </c>
      <c r="G12">
        <v>44.095541417979597</v>
      </c>
    </row>
    <row r="13" spans="2:7" x14ac:dyDescent="0.25">
      <c r="B13" t="s">
        <v>14</v>
      </c>
      <c r="C13">
        <v>21</v>
      </c>
      <c r="D13">
        <v>70</v>
      </c>
      <c r="E13">
        <f t="shared" si="0"/>
        <v>30</v>
      </c>
      <c r="F13">
        <v>2.1409410000000002</v>
      </c>
      <c r="G13">
        <v>10.542290085167799</v>
      </c>
    </row>
    <row r="17" spans="2:7" x14ac:dyDescent="0.25">
      <c r="B17" t="s">
        <v>4</v>
      </c>
      <c r="C17" t="s">
        <v>10</v>
      </c>
      <c r="D17" t="s">
        <v>11</v>
      </c>
      <c r="E17" t="s">
        <v>12</v>
      </c>
      <c r="F17" t="s">
        <v>13</v>
      </c>
      <c r="G17" t="s">
        <v>3</v>
      </c>
    </row>
    <row r="18" spans="2:7" x14ac:dyDescent="0.25">
      <c r="B18" t="s">
        <v>15</v>
      </c>
      <c r="C18">
        <v>21</v>
      </c>
      <c r="D18">
        <v>20</v>
      </c>
      <c r="E18">
        <f>100-D18</f>
        <v>80</v>
      </c>
      <c r="F18">
        <v>2.4053390000000001</v>
      </c>
      <c r="G18">
        <v>0.52830822500687202</v>
      </c>
    </row>
    <row r="19" spans="2:7" x14ac:dyDescent="0.25">
      <c r="B19" t="s">
        <v>15</v>
      </c>
      <c r="C19">
        <v>21</v>
      </c>
      <c r="D19">
        <v>30</v>
      </c>
      <c r="E19">
        <f t="shared" ref="E19:E28" si="1">100-D19</f>
        <v>70</v>
      </c>
      <c r="F19">
        <v>2.434723</v>
      </c>
      <c r="G19">
        <v>0.62709127986581303</v>
      </c>
    </row>
    <row r="20" spans="2:7" x14ac:dyDescent="0.25">
      <c r="B20" t="s">
        <v>15</v>
      </c>
      <c r="C20">
        <v>21</v>
      </c>
      <c r="D20">
        <v>40</v>
      </c>
      <c r="E20">
        <f t="shared" si="1"/>
        <v>60</v>
      </c>
      <c r="F20">
        <v>2.362838</v>
      </c>
      <c r="G20">
        <v>0.86021845755637205</v>
      </c>
    </row>
    <row r="21" spans="2:7" x14ac:dyDescent="0.25">
      <c r="B21" t="s">
        <v>15</v>
      </c>
      <c r="C21">
        <v>21</v>
      </c>
      <c r="D21">
        <v>50</v>
      </c>
      <c r="E21">
        <f t="shared" si="1"/>
        <v>50</v>
      </c>
      <c r="F21">
        <v>2.2612510000000001</v>
      </c>
      <c r="G21">
        <v>1.93820743014956</v>
      </c>
    </row>
    <row r="22" spans="2:7" x14ac:dyDescent="0.25">
      <c r="B22" t="s">
        <v>15</v>
      </c>
      <c r="C22">
        <v>21</v>
      </c>
      <c r="D22">
        <v>60</v>
      </c>
      <c r="E22">
        <f t="shared" si="1"/>
        <v>40</v>
      </c>
      <c r="F22">
        <v>2.3081360000000002</v>
      </c>
      <c r="G22">
        <v>2.7100245135262502</v>
      </c>
    </row>
    <row r="23" spans="2:7" x14ac:dyDescent="0.25">
      <c r="B23" t="s">
        <v>15</v>
      </c>
      <c r="C23">
        <v>21</v>
      </c>
      <c r="D23">
        <v>70</v>
      </c>
      <c r="E23">
        <f t="shared" si="1"/>
        <v>30</v>
      </c>
      <c r="F23">
        <v>2.3968660000000002</v>
      </c>
      <c r="G23">
        <v>4.5368769845748096</v>
      </c>
    </row>
    <row r="24" spans="2:7" x14ac:dyDescent="0.25">
      <c r="B24" t="s">
        <v>15</v>
      </c>
      <c r="C24">
        <v>21</v>
      </c>
      <c r="D24">
        <v>75</v>
      </c>
      <c r="E24">
        <f t="shared" si="1"/>
        <v>25</v>
      </c>
      <c r="F24">
        <v>2.4383810000000001</v>
      </c>
      <c r="G24">
        <v>6.0650529803933599</v>
      </c>
    </row>
    <row r="25" spans="2:7" x14ac:dyDescent="0.25">
      <c r="B25" t="s">
        <v>15</v>
      </c>
      <c r="C25">
        <v>21</v>
      </c>
      <c r="D25">
        <v>77</v>
      </c>
      <c r="E25">
        <f t="shared" si="1"/>
        <v>23</v>
      </c>
      <c r="F25">
        <v>2.4409380000000001</v>
      </c>
      <c r="G25">
        <v>6.4974052559889</v>
      </c>
    </row>
    <row r="26" spans="2:7" x14ac:dyDescent="0.25">
      <c r="B26" t="s">
        <v>15</v>
      </c>
      <c r="C26">
        <v>21</v>
      </c>
      <c r="D26">
        <v>78</v>
      </c>
      <c r="E26">
        <f t="shared" si="1"/>
        <v>22</v>
      </c>
      <c r="F26">
        <v>2.1784599999999998</v>
      </c>
      <c r="G26">
        <v>6.22184515214418</v>
      </c>
    </row>
    <row r="27" spans="2:7" x14ac:dyDescent="0.25">
      <c r="B27" s="1" t="s">
        <v>15</v>
      </c>
      <c r="C27" s="1">
        <v>21</v>
      </c>
      <c r="D27" s="1">
        <v>79</v>
      </c>
      <c r="E27" s="1">
        <f t="shared" si="1"/>
        <v>21</v>
      </c>
      <c r="F27" s="1">
        <v>2.1987040000000002</v>
      </c>
      <c r="G27" s="1">
        <v>9.2652499971129298</v>
      </c>
    </row>
    <row r="28" spans="2:7" x14ac:dyDescent="0.25">
      <c r="B28" t="s">
        <v>15</v>
      </c>
      <c r="C28">
        <v>21</v>
      </c>
      <c r="D28">
        <v>80</v>
      </c>
      <c r="E28">
        <f t="shared" si="1"/>
        <v>20</v>
      </c>
      <c r="F28">
        <v>2.2487200000000001</v>
      </c>
      <c r="G28">
        <v>29.8300969934748</v>
      </c>
    </row>
    <row r="32" spans="2:7" x14ac:dyDescent="0.25">
      <c r="B32" t="s">
        <v>4</v>
      </c>
      <c r="C32" t="s">
        <v>10</v>
      </c>
      <c r="D32" t="s">
        <v>11</v>
      </c>
      <c r="E32" t="s">
        <v>12</v>
      </c>
      <c r="F32" t="s">
        <v>13</v>
      </c>
      <c r="G32" t="s">
        <v>3</v>
      </c>
    </row>
    <row r="33" spans="2:7" x14ac:dyDescent="0.25">
      <c r="B33" t="s">
        <v>18</v>
      </c>
      <c r="C33">
        <v>21</v>
      </c>
      <c r="D33">
        <v>20</v>
      </c>
      <c r="E33">
        <f>100-D33</f>
        <v>80</v>
      </c>
      <c r="F33">
        <v>4.7831489999999999</v>
      </c>
      <c r="G33">
        <v>0.99760904681600104</v>
      </c>
    </row>
    <row r="34" spans="2:7" x14ac:dyDescent="0.25">
      <c r="B34" t="s">
        <v>18</v>
      </c>
      <c r="C34">
        <v>21</v>
      </c>
      <c r="D34">
        <v>30</v>
      </c>
      <c r="E34">
        <f>100-D34</f>
        <v>70</v>
      </c>
      <c r="F34">
        <v>4.5763590000000001</v>
      </c>
      <c r="G34">
        <v>1.0065346515301701</v>
      </c>
    </row>
    <row r="35" spans="2:7" x14ac:dyDescent="0.25">
      <c r="B35" t="s">
        <v>18</v>
      </c>
      <c r="C35">
        <v>21</v>
      </c>
      <c r="D35">
        <v>40</v>
      </c>
      <c r="E35">
        <f>100-D35</f>
        <v>60</v>
      </c>
      <c r="F35">
        <v>5.4477669999999998</v>
      </c>
      <c r="G35">
        <v>0.89126402988916698</v>
      </c>
    </row>
    <row r="36" spans="2:7" x14ac:dyDescent="0.25">
      <c r="B36" t="s">
        <v>18</v>
      </c>
      <c r="C36">
        <v>21</v>
      </c>
      <c r="D36">
        <v>50</v>
      </c>
      <c r="E36">
        <f>100-D36</f>
        <v>50</v>
      </c>
      <c r="F36">
        <v>5.7633320000000001</v>
      </c>
      <c r="G36">
        <v>2.37809584047148</v>
      </c>
    </row>
    <row r="37" spans="2:7" x14ac:dyDescent="0.25">
      <c r="B37" t="s">
        <v>18</v>
      </c>
      <c r="C37">
        <v>21</v>
      </c>
      <c r="D37">
        <v>60</v>
      </c>
      <c r="E37">
        <f t="shared" ref="E37:E43" si="2">100-D37</f>
        <v>40</v>
      </c>
      <c r="F37">
        <v>5.2267419999999998</v>
      </c>
      <c r="G37">
        <v>3.1265392961331799</v>
      </c>
    </row>
    <row r="38" spans="2:7" x14ac:dyDescent="0.25">
      <c r="B38" t="s">
        <v>18</v>
      </c>
      <c r="C38">
        <v>21</v>
      </c>
      <c r="D38">
        <v>70</v>
      </c>
      <c r="E38">
        <f t="shared" si="2"/>
        <v>30</v>
      </c>
      <c r="F38">
        <v>5.1972909999999999</v>
      </c>
      <c r="G38">
        <v>6.1579006351889296</v>
      </c>
    </row>
    <row r="39" spans="2:7" x14ac:dyDescent="0.25">
      <c r="B39" t="s">
        <v>18</v>
      </c>
      <c r="C39">
        <v>21</v>
      </c>
      <c r="D39">
        <v>75</v>
      </c>
      <c r="E39">
        <f t="shared" si="2"/>
        <v>25</v>
      </c>
      <c r="F39">
        <v>5.1765559999999997</v>
      </c>
      <c r="G39">
        <v>7.2529884583681898</v>
      </c>
    </row>
    <row r="40" spans="2:7" x14ac:dyDescent="0.25">
      <c r="B40" t="s">
        <v>18</v>
      </c>
      <c r="C40">
        <v>21</v>
      </c>
      <c r="D40">
        <v>77</v>
      </c>
      <c r="E40">
        <f t="shared" si="2"/>
        <v>23</v>
      </c>
      <c r="F40">
        <v>5.114509</v>
      </c>
      <c r="G40">
        <v>9.0335425073431601</v>
      </c>
    </row>
    <row r="41" spans="2:7" x14ac:dyDescent="0.25">
      <c r="B41" s="1" t="s">
        <v>18</v>
      </c>
      <c r="C41" s="1">
        <v>21</v>
      </c>
      <c r="D41" s="1">
        <v>78</v>
      </c>
      <c r="E41" s="1">
        <f t="shared" si="2"/>
        <v>22</v>
      </c>
      <c r="F41" s="1">
        <v>5.1010059999999999</v>
      </c>
      <c r="G41" s="1">
        <v>9.8253601474948091</v>
      </c>
    </row>
    <row r="42" spans="2:7" x14ac:dyDescent="0.25">
      <c r="B42" t="s">
        <v>18</v>
      </c>
      <c r="C42">
        <v>21</v>
      </c>
      <c r="D42">
        <v>79</v>
      </c>
      <c r="E42">
        <f t="shared" si="2"/>
        <v>21</v>
      </c>
      <c r="F42">
        <v>5.1766870000000003</v>
      </c>
      <c r="G42">
        <v>10.549883055164599</v>
      </c>
    </row>
    <row r="43" spans="2:7" x14ac:dyDescent="0.25">
      <c r="B43" t="s">
        <v>18</v>
      </c>
      <c r="C43">
        <v>21</v>
      </c>
      <c r="D43">
        <v>80</v>
      </c>
      <c r="E43">
        <f t="shared" si="2"/>
        <v>20</v>
      </c>
      <c r="F43">
        <v>5.0735060000000001</v>
      </c>
      <c r="G43">
        <v>14.3199733172543</v>
      </c>
    </row>
    <row r="47" spans="2:7" x14ac:dyDescent="0.25">
      <c r="B47" t="s">
        <v>4</v>
      </c>
      <c r="C47" t="s">
        <v>10</v>
      </c>
      <c r="D47" t="s">
        <v>11</v>
      </c>
      <c r="E47" t="s">
        <v>12</v>
      </c>
      <c r="F47" t="s">
        <v>13</v>
      </c>
      <c r="G47" t="s">
        <v>3</v>
      </c>
    </row>
    <row r="48" spans="2:7" x14ac:dyDescent="0.25">
      <c r="B48" t="s">
        <v>19</v>
      </c>
      <c r="C48">
        <v>21</v>
      </c>
      <c r="D48">
        <v>20</v>
      </c>
      <c r="E48">
        <f t="shared" ref="E48:E53" si="3">100-D48</f>
        <v>80</v>
      </c>
      <c r="F48">
        <v>3.462399</v>
      </c>
      <c r="G48">
        <v>1.1302268228424199</v>
      </c>
    </row>
    <row r="49" spans="4:7" x14ac:dyDescent="0.25">
      <c r="D49">
        <v>30</v>
      </c>
      <c r="E49">
        <f t="shared" si="3"/>
        <v>70</v>
      </c>
      <c r="F49">
        <v>3.419816</v>
      </c>
      <c r="G49">
        <v>1.27988138200882</v>
      </c>
    </row>
    <row r="50" spans="4:7" x14ac:dyDescent="0.25">
      <c r="D50">
        <v>40</v>
      </c>
      <c r="E50">
        <f t="shared" si="3"/>
        <v>60</v>
      </c>
      <c r="F50">
        <v>3.5066389999999998</v>
      </c>
      <c r="G50">
        <v>1.1395179678534499</v>
      </c>
    </row>
    <row r="51" spans="4:7" x14ac:dyDescent="0.25">
      <c r="D51">
        <v>50</v>
      </c>
      <c r="E51">
        <f t="shared" si="3"/>
        <v>50</v>
      </c>
      <c r="F51">
        <v>3.2713909999999999</v>
      </c>
      <c r="G51">
        <v>2.3931083798284098</v>
      </c>
    </row>
    <row r="52" spans="4:7" x14ac:dyDescent="0.25">
      <c r="D52">
        <v>60</v>
      </c>
      <c r="E52">
        <f t="shared" si="3"/>
        <v>40</v>
      </c>
    </row>
    <row r="53" spans="4:7" x14ac:dyDescent="0.25">
      <c r="E53">
        <f t="shared" si="3"/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5EB5-F9B5-4507-9399-F5CCD7ABE125}">
  <dimension ref="B1:Y59"/>
  <sheetViews>
    <sheetView workbookViewId="0">
      <selection activeCell="X51" sqref="X51"/>
    </sheetView>
  </sheetViews>
  <sheetFormatPr defaultRowHeight="15" x14ac:dyDescent="0.25"/>
  <sheetData>
    <row r="1" spans="2:25" x14ac:dyDescent="0.25">
      <c r="B1" t="s">
        <v>16</v>
      </c>
    </row>
    <row r="3" spans="2:25" x14ac:dyDescent="0.25"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3</v>
      </c>
      <c r="K3" t="s">
        <v>4</v>
      </c>
      <c r="L3" t="s">
        <v>10</v>
      </c>
      <c r="M3" t="s">
        <v>11</v>
      </c>
      <c r="N3" t="s">
        <v>12</v>
      </c>
      <c r="O3" t="s">
        <v>13</v>
      </c>
      <c r="P3" t="s">
        <v>3</v>
      </c>
      <c r="T3" t="s">
        <v>4</v>
      </c>
      <c r="U3" t="s">
        <v>10</v>
      </c>
      <c r="V3" t="s">
        <v>11</v>
      </c>
      <c r="W3" t="s">
        <v>12</v>
      </c>
      <c r="X3" t="s">
        <v>13</v>
      </c>
      <c r="Y3" t="s">
        <v>3</v>
      </c>
    </row>
    <row r="4" spans="2:25" x14ac:dyDescent="0.25">
      <c r="B4" t="s">
        <v>14</v>
      </c>
      <c r="C4">
        <v>21</v>
      </c>
      <c r="D4">
        <v>20</v>
      </c>
      <c r="E4">
        <f t="shared" ref="E4:E10" si="0">100-D4</f>
        <v>80</v>
      </c>
      <c r="F4">
        <v>2.4461200000000001</v>
      </c>
      <c r="G4">
        <v>0.63368795318416704</v>
      </c>
      <c r="K4" t="s">
        <v>14</v>
      </c>
      <c r="L4">
        <v>67</v>
      </c>
      <c r="M4">
        <v>20</v>
      </c>
      <c r="N4">
        <f>100-M4</f>
        <v>80</v>
      </c>
      <c r="O4">
        <v>2.7151329999999998</v>
      </c>
      <c r="P4">
        <v>0.49376685479841498</v>
      </c>
      <c r="T4" t="s">
        <v>14</v>
      </c>
      <c r="U4">
        <v>273</v>
      </c>
      <c r="V4">
        <v>20</v>
      </c>
      <c r="W4">
        <f>100-V4</f>
        <v>80</v>
      </c>
      <c r="X4">
        <v>2.3404889999999998</v>
      </c>
      <c r="Y4">
        <v>0.543547971063567</v>
      </c>
    </row>
    <row r="5" spans="2:25" x14ac:dyDescent="0.25">
      <c r="B5" t="s">
        <v>14</v>
      </c>
      <c r="C5">
        <v>21</v>
      </c>
      <c r="D5">
        <v>30</v>
      </c>
      <c r="E5">
        <f t="shared" si="0"/>
        <v>70</v>
      </c>
      <c r="F5">
        <v>2.291328</v>
      </c>
      <c r="G5">
        <v>0.71201907438757295</v>
      </c>
      <c r="K5" t="s">
        <v>14</v>
      </c>
      <c r="L5">
        <v>67</v>
      </c>
      <c r="M5">
        <v>30</v>
      </c>
      <c r="N5">
        <f>100-M5</f>
        <v>70</v>
      </c>
      <c r="O5">
        <v>2.3480889999999999</v>
      </c>
      <c r="P5">
        <v>0.78203022423883695</v>
      </c>
      <c r="T5" t="s">
        <v>14</v>
      </c>
      <c r="U5">
        <v>273</v>
      </c>
      <c r="V5">
        <v>30</v>
      </c>
      <c r="W5">
        <f>100-V5</f>
        <v>70</v>
      </c>
      <c r="X5">
        <v>2.3816139999999999</v>
      </c>
      <c r="Y5">
        <v>0.67529592411352901</v>
      </c>
    </row>
    <row r="6" spans="2:25" x14ac:dyDescent="0.25">
      <c r="B6" t="s">
        <v>14</v>
      </c>
      <c r="C6">
        <v>21</v>
      </c>
      <c r="D6">
        <v>40</v>
      </c>
      <c r="E6">
        <f t="shared" si="0"/>
        <v>60</v>
      </c>
      <c r="F6">
        <v>2.2570079999999999</v>
      </c>
      <c r="G6">
        <v>1.1888248275256701</v>
      </c>
      <c r="K6" t="s">
        <v>14</v>
      </c>
      <c r="L6">
        <v>67</v>
      </c>
      <c r="M6">
        <v>40</v>
      </c>
      <c r="N6">
        <f t="shared" ref="N6:N13" si="1">100-M6</f>
        <v>60</v>
      </c>
      <c r="O6">
        <v>2.2376480000000001</v>
      </c>
      <c r="P6">
        <v>0.61459446529834605</v>
      </c>
      <c r="T6" t="s">
        <v>14</v>
      </c>
      <c r="U6">
        <v>273</v>
      </c>
      <c r="V6">
        <v>40</v>
      </c>
      <c r="W6">
        <f t="shared" ref="W6:W12" si="2">100-V6</f>
        <v>60</v>
      </c>
      <c r="X6">
        <v>2.38795</v>
      </c>
      <c r="Y6">
        <v>0.73474851442276001</v>
      </c>
    </row>
    <row r="7" spans="2:25" x14ac:dyDescent="0.25">
      <c r="B7" t="s">
        <v>14</v>
      </c>
      <c r="C7">
        <v>21</v>
      </c>
      <c r="D7">
        <v>50</v>
      </c>
      <c r="E7">
        <f t="shared" si="0"/>
        <v>50</v>
      </c>
      <c r="F7">
        <v>2.2718600000000002</v>
      </c>
      <c r="G7">
        <v>2.7422201816044498</v>
      </c>
      <c r="K7" t="s">
        <v>14</v>
      </c>
      <c r="L7">
        <v>67</v>
      </c>
      <c r="M7">
        <v>50</v>
      </c>
      <c r="N7">
        <f t="shared" si="1"/>
        <v>50</v>
      </c>
      <c r="O7">
        <v>2.2148750000000001</v>
      </c>
      <c r="P7">
        <v>0.88125723277257495</v>
      </c>
      <c r="T7" t="s">
        <v>14</v>
      </c>
      <c r="U7">
        <v>273</v>
      </c>
      <c r="V7">
        <v>50</v>
      </c>
      <c r="W7">
        <f t="shared" si="2"/>
        <v>50</v>
      </c>
      <c r="X7">
        <v>2.3543590000000001</v>
      </c>
      <c r="Y7">
        <v>1.3456355519582099</v>
      </c>
    </row>
    <row r="8" spans="2:25" x14ac:dyDescent="0.25">
      <c r="B8" t="s">
        <v>14</v>
      </c>
      <c r="C8">
        <v>21</v>
      </c>
      <c r="D8">
        <v>60</v>
      </c>
      <c r="E8">
        <f t="shared" si="0"/>
        <v>40</v>
      </c>
      <c r="F8">
        <v>2.168139</v>
      </c>
      <c r="G8">
        <v>2.9688156610003098</v>
      </c>
      <c r="K8" t="s">
        <v>14</v>
      </c>
      <c r="L8">
        <v>67</v>
      </c>
      <c r="M8">
        <v>60</v>
      </c>
      <c r="N8">
        <f t="shared" si="1"/>
        <v>40</v>
      </c>
      <c r="O8">
        <v>2.2286570000000001</v>
      </c>
      <c r="P8">
        <v>1.8920866140442101</v>
      </c>
      <c r="T8" t="s">
        <v>14</v>
      </c>
      <c r="U8">
        <v>273</v>
      </c>
      <c r="V8">
        <v>60</v>
      </c>
      <c r="W8">
        <f t="shared" si="2"/>
        <v>40</v>
      </c>
      <c r="X8">
        <v>2.2706759999999999</v>
      </c>
      <c r="Y8">
        <v>3.9272264141657902</v>
      </c>
    </row>
    <row r="9" spans="2:25" x14ac:dyDescent="0.25">
      <c r="B9" s="1" t="s">
        <v>14</v>
      </c>
      <c r="C9" s="1">
        <v>21</v>
      </c>
      <c r="D9" s="1">
        <v>69</v>
      </c>
      <c r="E9" s="1">
        <f t="shared" si="0"/>
        <v>31</v>
      </c>
      <c r="F9" s="1">
        <v>2.4482300000000001</v>
      </c>
      <c r="G9" s="1">
        <v>9.9145202682726694</v>
      </c>
      <c r="K9" t="s">
        <v>14</v>
      </c>
      <c r="L9">
        <v>67</v>
      </c>
      <c r="M9">
        <v>70</v>
      </c>
      <c r="N9">
        <f t="shared" si="1"/>
        <v>30</v>
      </c>
      <c r="O9">
        <v>2.231684</v>
      </c>
      <c r="P9">
        <v>3.2622676807318798</v>
      </c>
      <c r="T9" t="s">
        <v>14</v>
      </c>
      <c r="U9">
        <v>273</v>
      </c>
      <c r="V9">
        <v>65</v>
      </c>
      <c r="W9">
        <f t="shared" si="2"/>
        <v>35</v>
      </c>
      <c r="X9">
        <v>2.0244870000000001</v>
      </c>
      <c r="Y9">
        <v>4.9272993209712803</v>
      </c>
    </row>
    <row r="10" spans="2:25" x14ac:dyDescent="0.25">
      <c r="B10" t="s">
        <v>14</v>
      </c>
      <c r="C10">
        <v>21</v>
      </c>
      <c r="D10">
        <v>70</v>
      </c>
      <c r="E10">
        <f t="shared" si="0"/>
        <v>30</v>
      </c>
      <c r="F10">
        <v>2.173753</v>
      </c>
      <c r="G10">
        <v>10.833710911661701</v>
      </c>
      <c r="K10" t="s">
        <v>14</v>
      </c>
      <c r="L10">
        <v>67</v>
      </c>
      <c r="M10">
        <v>80</v>
      </c>
      <c r="N10">
        <f t="shared" si="1"/>
        <v>20</v>
      </c>
      <c r="O10">
        <v>2.12906</v>
      </c>
      <c r="P10">
        <v>5.1993739088348701</v>
      </c>
      <c r="T10" s="1" t="s">
        <v>14</v>
      </c>
      <c r="U10" s="1">
        <v>273</v>
      </c>
      <c r="V10" s="1">
        <v>68</v>
      </c>
      <c r="W10" s="1">
        <f t="shared" si="2"/>
        <v>32</v>
      </c>
      <c r="X10" s="1">
        <v>2.1533929999999999</v>
      </c>
      <c r="Y10" s="1">
        <v>5.5718292578819204</v>
      </c>
    </row>
    <row r="11" spans="2:25" x14ac:dyDescent="0.25">
      <c r="K11" t="s">
        <v>14</v>
      </c>
      <c r="L11">
        <v>67</v>
      </c>
      <c r="M11">
        <v>83</v>
      </c>
      <c r="N11">
        <f t="shared" si="1"/>
        <v>17</v>
      </c>
      <c r="O11">
        <v>2.1469969999999998</v>
      </c>
      <c r="P11">
        <v>6.5517722164107104</v>
      </c>
      <c r="T11" t="s">
        <v>14</v>
      </c>
      <c r="U11">
        <v>273</v>
      </c>
      <c r="V11">
        <v>69</v>
      </c>
      <c r="W11">
        <f t="shared" si="2"/>
        <v>31</v>
      </c>
      <c r="X11">
        <v>2.1032489999999999</v>
      </c>
      <c r="Y11">
        <v>53.386921581933201</v>
      </c>
    </row>
    <row r="12" spans="2:25" x14ac:dyDescent="0.25">
      <c r="K12" s="1" t="s">
        <v>14</v>
      </c>
      <c r="L12" s="1">
        <v>67</v>
      </c>
      <c r="M12" s="1">
        <v>84</v>
      </c>
      <c r="N12" s="1">
        <f t="shared" si="1"/>
        <v>16</v>
      </c>
      <c r="O12" s="1">
        <v>2.1391879999999999</v>
      </c>
      <c r="P12" s="1">
        <v>8.9009172058397397</v>
      </c>
      <c r="T12" t="s">
        <v>14</v>
      </c>
      <c r="U12">
        <v>273</v>
      </c>
      <c r="V12">
        <v>70</v>
      </c>
      <c r="W12">
        <f t="shared" si="2"/>
        <v>30</v>
      </c>
      <c r="X12">
        <v>2.2884139999999999</v>
      </c>
      <c r="Y12">
        <v>54.185585517649201</v>
      </c>
    </row>
    <row r="13" spans="2:25" x14ac:dyDescent="0.25">
      <c r="K13" t="s">
        <v>14</v>
      </c>
      <c r="L13">
        <v>67</v>
      </c>
      <c r="M13">
        <v>85</v>
      </c>
      <c r="N13">
        <f t="shared" si="1"/>
        <v>15</v>
      </c>
      <c r="O13">
        <v>2.1195750000000002</v>
      </c>
      <c r="P13">
        <v>10.648840293035301</v>
      </c>
    </row>
    <row r="14" spans="2:25" x14ac:dyDescent="0.25">
      <c r="B14" t="s">
        <v>4</v>
      </c>
      <c r="C14" t="s">
        <v>10</v>
      </c>
      <c r="D14" t="s">
        <v>11</v>
      </c>
      <c r="E14" t="s">
        <v>12</v>
      </c>
      <c r="F14" t="s">
        <v>13</v>
      </c>
      <c r="G14" t="s">
        <v>3</v>
      </c>
    </row>
    <row r="15" spans="2:25" x14ac:dyDescent="0.25">
      <c r="B15" t="s">
        <v>15</v>
      </c>
      <c r="C15">
        <v>21</v>
      </c>
      <c r="D15">
        <v>20</v>
      </c>
      <c r="E15">
        <f>100-D15</f>
        <v>80</v>
      </c>
      <c r="F15">
        <v>2.7858269999999998</v>
      </c>
      <c r="G15">
        <v>0.60796332615892701</v>
      </c>
    </row>
    <row r="16" spans="2:25" x14ac:dyDescent="0.25">
      <c r="B16" t="s">
        <v>15</v>
      </c>
      <c r="C16">
        <v>21</v>
      </c>
      <c r="D16">
        <v>30</v>
      </c>
      <c r="E16">
        <f t="shared" ref="E16:E25" si="3">100-D16</f>
        <v>70</v>
      </c>
      <c r="F16">
        <v>3.0220030000000002</v>
      </c>
      <c r="G16">
        <v>0.64230188209403505</v>
      </c>
    </row>
    <row r="17" spans="2:25" x14ac:dyDescent="0.25">
      <c r="B17" t="s">
        <v>15</v>
      </c>
      <c r="C17">
        <v>21</v>
      </c>
      <c r="D17">
        <v>40</v>
      </c>
      <c r="E17">
        <f t="shared" si="3"/>
        <v>60</v>
      </c>
      <c r="F17">
        <v>2.484645</v>
      </c>
      <c r="G17">
        <v>0.80941501011100203</v>
      </c>
      <c r="K17" t="s">
        <v>4</v>
      </c>
      <c r="L17" t="s">
        <v>10</v>
      </c>
      <c r="M17" t="s">
        <v>11</v>
      </c>
      <c r="N17" t="s">
        <v>12</v>
      </c>
      <c r="O17" t="s">
        <v>13</v>
      </c>
      <c r="P17" t="s">
        <v>3</v>
      </c>
      <c r="T17" t="s">
        <v>4</v>
      </c>
      <c r="U17" t="s">
        <v>10</v>
      </c>
      <c r="V17" t="s">
        <v>11</v>
      </c>
      <c r="W17" t="s">
        <v>12</v>
      </c>
      <c r="X17" t="s">
        <v>13</v>
      </c>
      <c r="Y17" t="s">
        <v>3</v>
      </c>
    </row>
    <row r="18" spans="2:25" x14ac:dyDescent="0.25">
      <c r="B18" t="s">
        <v>15</v>
      </c>
      <c r="C18">
        <v>21</v>
      </c>
      <c r="D18">
        <v>50</v>
      </c>
      <c r="E18">
        <f t="shared" si="3"/>
        <v>50</v>
      </c>
      <c r="F18">
        <v>2.3581660000000002</v>
      </c>
      <c r="G18">
        <v>1.98001676789303</v>
      </c>
      <c r="K18" t="s">
        <v>15</v>
      </c>
      <c r="L18">
        <v>67</v>
      </c>
      <c r="M18">
        <v>20</v>
      </c>
      <c r="N18">
        <f>100-M18</f>
        <v>80</v>
      </c>
      <c r="O18">
        <v>2.6580300000000001</v>
      </c>
      <c r="P18">
        <v>0.55638841352161095</v>
      </c>
      <c r="T18" t="s">
        <v>15</v>
      </c>
      <c r="U18">
        <v>273</v>
      </c>
      <c r="V18">
        <v>20</v>
      </c>
      <c r="W18">
        <f>100-V18</f>
        <v>80</v>
      </c>
      <c r="X18">
        <v>2.6580699999999999</v>
      </c>
      <c r="Y18">
        <v>0.530325512643817</v>
      </c>
    </row>
    <row r="19" spans="2:25" x14ac:dyDescent="0.25">
      <c r="B19" t="s">
        <v>15</v>
      </c>
      <c r="C19">
        <v>21</v>
      </c>
      <c r="D19">
        <v>60</v>
      </c>
      <c r="E19">
        <f t="shared" si="3"/>
        <v>40</v>
      </c>
      <c r="F19">
        <v>2.3526009999999999</v>
      </c>
      <c r="G19">
        <v>2.8515777962951998</v>
      </c>
      <c r="K19" t="s">
        <v>15</v>
      </c>
      <c r="L19">
        <v>67</v>
      </c>
      <c r="M19">
        <v>30</v>
      </c>
      <c r="N19">
        <f>100-M19</f>
        <v>70</v>
      </c>
      <c r="O19">
        <v>2.4739040000000001</v>
      </c>
      <c r="P19">
        <v>0.67793789957805495</v>
      </c>
      <c r="T19" t="s">
        <v>15</v>
      </c>
      <c r="U19">
        <v>273</v>
      </c>
      <c r="V19">
        <v>30</v>
      </c>
      <c r="W19">
        <f>100-V19</f>
        <v>70</v>
      </c>
      <c r="X19">
        <v>2.3488389999999999</v>
      </c>
      <c r="Y19">
        <v>0.64510172994230697</v>
      </c>
    </row>
    <row r="20" spans="2:25" x14ac:dyDescent="0.25">
      <c r="B20" t="s">
        <v>15</v>
      </c>
      <c r="C20">
        <v>21</v>
      </c>
      <c r="D20">
        <v>70</v>
      </c>
      <c r="E20">
        <f t="shared" si="3"/>
        <v>30</v>
      </c>
      <c r="F20">
        <v>2.3585569999999998</v>
      </c>
      <c r="G20">
        <v>5.1631750580128202</v>
      </c>
      <c r="K20" t="s">
        <v>15</v>
      </c>
      <c r="L20">
        <v>67</v>
      </c>
      <c r="M20">
        <v>40</v>
      </c>
      <c r="N20">
        <f t="shared" ref="N20:N28" si="4">100-M20</f>
        <v>60</v>
      </c>
      <c r="O20">
        <v>2.8253740000000001</v>
      </c>
      <c r="P20">
        <v>0.62945083118975997</v>
      </c>
      <c r="T20" t="s">
        <v>15</v>
      </c>
      <c r="U20">
        <v>273</v>
      </c>
      <c r="V20">
        <v>40</v>
      </c>
      <c r="W20">
        <f t="shared" ref="W20:W28" si="5">100-V20</f>
        <v>60</v>
      </c>
      <c r="X20">
        <v>2.3289810000000002</v>
      </c>
      <c r="Y20">
        <v>0.72991927286430203</v>
      </c>
    </row>
    <row r="21" spans="2:25" x14ac:dyDescent="0.25">
      <c r="B21" t="s">
        <v>15</v>
      </c>
      <c r="C21">
        <v>21</v>
      </c>
      <c r="D21">
        <v>75</v>
      </c>
      <c r="E21">
        <f t="shared" si="3"/>
        <v>25</v>
      </c>
      <c r="F21">
        <v>2.2627169999999999</v>
      </c>
      <c r="G21">
        <v>6.6649530258232703</v>
      </c>
      <c r="K21" t="s">
        <v>15</v>
      </c>
      <c r="L21">
        <v>67</v>
      </c>
      <c r="M21">
        <v>50</v>
      </c>
      <c r="N21">
        <f t="shared" si="4"/>
        <v>50</v>
      </c>
      <c r="O21">
        <v>2.380198</v>
      </c>
      <c r="P21">
        <v>0.75184203423080698</v>
      </c>
      <c r="T21" t="s">
        <v>15</v>
      </c>
      <c r="U21">
        <v>273</v>
      </c>
      <c r="V21">
        <v>50</v>
      </c>
      <c r="W21">
        <f t="shared" si="5"/>
        <v>50</v>
      </c>
      <c r="X21">
        <v>2.26919</v>
      </c>
      <c r="Y21">
        <v>0.99828231746276197</v>
      </c>
    </row>
    <row r="22" spans="2:25" x14ac:dyDescent="0.25">
      <c r="B22" t="s">
        <v>15</v>
      </c>
      <c r="C22">
        <v>21</v>
      </c>
      <c r="D22">
        <v>77</v>
      </c>
      <c r="E22">
        <f t="shared" si="3"/>
        <v>23</v>
      </c>
      <c r="F22">
        <v>2.2707579999999998</v>
      </c>
      <c r="G22">
        <v>7.3075510130203103</v>
      </c>
      <c r="K22" t="s">
        <v>15</v>
      </c>
      <c r="L22">
        <v>67</v>
      </c>
      <c r="M22">
        <v>60</v>
      </c>
      <c r="N22">
        <f t="shared" si="4"/>
        <v>40</v>
      </c>
      <c r="O22">
        <v>2.241565</v>
      </c>
      <c r="P22">
        <v>0.98757626711062996</v>
      </c>
      <c r="T22" t="s">
        <v>15</v>
      </c>
      <c r="U22">
        <v>273</v>
      </c>
      <c r="V22">
        <v>60</v>
      </c>
      <c r="W22">
        <f t="shared" si="5"/>
        <v>40</v>
      </c>
      <c r="X22">
        <v>2.1642169999999998</v>
      </c>
      <c r="Y22">
        <v>1.2852925920604701</v>
      </c>
    </row>
    <row r="23" spans="2:25" x14ac:dyDescent="0.25">
      <c r="B23" t="s">
        <v>15</v>
      </c>
      <c r="C23">
        <v>21</v>
      </c>
      <c r="D23">
        <v>78</v>
      </c>
      <c r="E23">
        <f t="shared" si="3"/>
        <v>22</v>
      </c>
      <c r="F23">
        <v>2.300834</v>
      </c>
      <c r="G23">
        <v>7.13751486235308</v>
      </c>
      <c r="K23" t="s">
        <v>15</v>
      </c>
      <c r="L23">
        <v>67</v>
      </c>
      <c r="M23">
        <v>70</v>
      </c>
      <c r="N23">
        <f t="shared" si="4"/>
        <v>30</v>
      </c>
      <c r="O23">
        <v>2.618817</v>
      </c>
      <c r="P23">
        <v>1.17542499023473</v>
      </c>
      <c r="T23" t="s">
        <v>15</v>
      </c>
      <c r="U23">
        <v>273</v>
      </c>
      <c r="V23">
        <v>70</v>
      </c>
      <c r="W23">
        <f t="shared" si="5"/>
        <v>30</v>
      </c>
      <c r="X23">
        <v>2.218067</v>
      </c>
      <c r="Y23">
        <v>6.0988842115736901</v>
      </c>
    </row>
    <row r="24" spans="2:25" x14ac:dyDescent="0.25">
      <c r="B24" s="1" t="s">
        <v>15</v>
      </c>
      <c r="C24" s="1">
        <v>21</v>
      </c>
      <c r="D24" s="1">
        <v>79</v>
      </c>
      <c r="E24" s="1">
        <f t="shared" si="3"/>
        <v>21</v>
      </c>
      <c r="F24" s="1">
        <v>2.3463250000000002</v>
      </c>
      <c r="G24" s="1">
        <v>9.5532534249011807</v>
      </c>
      <c r="K24" t="s">
        <v>15</v>
      </c>
      <c r="L24">
        <v>67</v>
      </c>
      <c r="M24">
        <v>80</v>
      </c>
      <c r="N24">
        <f t="shared" si="4"/>
        <v>20</v>
      </c>
      <c r="O24">
        <v>2.3168959999999998</v>
      </c>
      <c r="P24">
        <v>9.0568929458186105</v>
      </c>
      <c r="T24" t="s">
        <v>15</v>
      </c>
      <c r="U24">
        <v>273</v>
      </c>
      <c r="V24">
        <v>80</v>
      </c>
      <c r="W24">
        <f t="shared" si="5"/>
        <v>20</v>
      </c>
      <c r="X24">
        <v>2.1122399999999999</v>
      </c>
      <c r="Y24">
        <v>3.95479675415329</v>
      </c>
    </row>
    <row r="25" spans="2:25" x14ac:dyDescent="0.25">
      <c r="B25" t="s">
        <v>15</v>
      </c>
      <c r="C25">
        <v>21</v>
      </c>
      <c r="D25">
        <v>80</v>
      </c>
      <c r="E25">
        <f t="shared" si="3"/>
        <v>20</v>
      </c>
      <c r="F25">
        <v>2.2554500000000002</v>
      </c>
      <c r="G25">
        <v>31.202424463069999</v>
      </c>
      <c r="K25" t="s">
        <v>15</v>
      </c>
      <c r="L25">
        <v>67</v>
      </c>
      <c r="M25">
        <v>81</v>
      </c>
      <c r="N25">
        <f t="shared" si="4"/>
        <v>19</v>
      </c>
      <c r="O25">
        <v>2.2389350000000001</v>
      </c>
      <c r="P25">
        <v>8.3430789248094293</v>
      </c>
      <c r="T25" s="1" t="s">
        <v>15</v>
      </c>
      <c r="U25" s="1">
        <v>273</v>
      </c>
      <c r="V25" s="1">
        <v>81</v>
      </c>
      <c r="W25" s="1">
        <f t="shared" si="5"/>
        <v>19</v>
      </c>
      <c r="X25" s="1">
        <v>2.2253669999999999</v>
      </c>
      <c r="Y25" s="1">
        <v>5.6524810244778303</v>
      </c>
    </row>
    <row r="26" spans="2:25" x14ac:dyDescent="0.25">
      <c r="K26" s="1" t="s">
        <v>15</v>
      </c>
      <c r="L26" s="1">
        <v>67</v>
      </c>
      <c r="M26" s="1">
        <v>82</v>
      </c>
      <c r="N26" s="1">
        <f t="shared" si="4"/>
        <v>18</v>
      </c>
      <c r="O26" s="1">
        <v>2.325196</v>
      </c>
      <c r="P26" s="1">
        <v>9.1928674219226192</v>
      </c>
      <c r="T26" t="s">
        <v>15</v>
      </c>
      <c r="U26">
        <v>273</v>
      </c>
      <c r="V26">
        <v>82</v>
      </c>
      <c r="W26">
        <f>100-V26</f>
        <v>18</v>
      </c>
      <c r="X26">
        <v>2.166226</v>
      </c>
      <c r="Y26">
        <v>10.873267330330499</v>
      </c>
    </row>
    <row r="27" spans="2:25" x14ac:dyDescent="0.25">
      <c r="K27" t="s">
        <v>15</v>
      </c>
      <c r="L27">
        <v>67</v>
      </c>
      <c r="M27">
        <v>83</v>
      </c>
      <c r="N27">
        <f t="shared" si="4"/>
        <v>17</v>
      </c>
      <c r="O27">
        <v>2.289358</v>
      </c>
      <c r="P27">
        <v>10.3431004270098</v>
      </c>
      <c r="T27" t="s">
        <v>15</v>
      </c>
      <c r="U27">
        <v>273</v>
      </c>
      <c r="V27">
        <v>85</v>
      </c>
      <c r="W27">
        <f t="shared" si="5"/>
        <v>15</v>
      </c>
      <c r="X27">
        <v>2.032724</v>
      </c>
      <c r="Y27">
        <v>23.590467780041099</v>
      </c>
    </row>
    <row r="28" spans="2:25" x14ac:dyDescent="0.25">
      <c r="K28" t="s">
        <v>15</v>
      </c>
      <c r="L28">
        <v>67</v>
      </c>
      <c r="M28">
        <v>85</v>
      </c>
      <c r="N28">
        <f t="shared" si="4"/>
        <v>15</v>
      </c>
      <c r="O28">
        <v>2.283909</v>
      </c>
      <c r="P28">
        <v>79.859640984276396</v>
      </c>
      <c r="T28" t="s">
        <v>15</v>
      </c>
      <c r="U28">
        <v>273</v>
      </c>
      <c r="V28">
        <v>90</v>
      </c>
      <c r="W28">
        <f t="shared" si="5"/>
        <v>10</v>
      </c>
      <c r="X28">
        <v>2.1088170000000002</v>
      </c>
      <c r="Y28">
        <v>28.571024821297499</v>
      </c>
    </row>
    <row r="29" spans="2:25" x14ac:dyDescent="0.25">
      <c r="B29" t="s">
        <v>4</v>
      </c>
      <c r="C29" t="s">
        <v>10</v>
      </c>
      <c r="D29" t="s">
        <v>11</v>
      </c>
      <c r="E29" t="s">
        <v>12</v>
      </c>
      <c r="F29" t="s">
        <v>13</v>
      </c>
      <c r="G29" t="s">
        <v>3</v>
      </c>
    </row>
    <row r="30" spans="2:25" x14ac:dyDescent="0.25">
      <c r="B30" t="s">
        <v>18</v>
      </c>
      <c r="C30">
        <v>21</v>
      </c>
      <c r="D30">
        <v>20</v>
      </c>
      <c r="E30">
        <f>100-D30</f>
        <v>80</v>
      </c>
      <c r="F30">
        <v>4.5661500000000004</v>
      </c>
      <c r="G30">
        <v>0.97048664618083902</v>
      </c>
    </row>
    <row r="31" spans="2:25" x14ac:dyDescent="0.25">
      <c r="B31" t="s">
        <v>18</v>
      </c>
      <c r="C31">
        <v>21</v>
      </c>
      <c r="D31">
        <v>30</v>
      </c>
      <c r="E31">
        <f>100-D31</f>
        <v>70</v>
      </c>
      <c r="F31">
        <v>4.6794960000000003</v>
      </c>
      <c r="G31">
        <v>1.0574103003160999</v>
      </c>
    </row>
    <row r="32" spans="2:25" x14ac:dyDescent="0.25">
      <c r="B32" t="s">
        <v>18</v>
      </c>
      <c r="C32">
        <v>21</v>
      </c>
      <c r="D32">
        <v>40</v>
      </c>
      <c r="E32">
        <f>100-D32</f>
        <v>60</v>
      </c>
      <c r="F32">
        <v>4.2394540000000003</v>
      </c>
      <c r="G32">
        <v>0.92636514094550604</v>
      </c>
      <c r="K32" t="s">
        <v>4</v>
      </c>
      <c r="L32" t="s">
        <v>10</v>
      </c>
      <c r="M32" t="s">
        <v>11</v>
      </c>
      <c r="N32" t="s">
        <v>12</v>
      </c>
      <c r="O32" t="s">
        <v>13</v>
      </c>
      <c r="P32" t="s">
        <v>3</v>
      </c>
      <c r="T32" t="s">
        <v>4</v>
      </c>
      <c r="U32" t="s">
        <v>10</v>
      </c>
      <c r="V32" t="s">
        <v>11</v>
      </c>
      <c r="W32" t="s">
        <v>12</v>
      </c>
      <c r="X32" t="s">
        <v>13</v>
      </c>
      <c r="Y32" t="s">
        <v>3</v>
      </c>
    </row>
    <row r="33" spans="2:25" x14ac:dyDescent="0.25">
      <c r="B33" t="s">
        <v>18</v>
      </c>
      <c r="C33">
        <v>21</v>
      </c>
      <c r="D33">
        <v>50</v>
      </c>
      <c r="E33">
        <f>100-D33</f>
        <v>50</v>
      </c>
      <c r="F33">
        <v>4.2323620000000002</v>
      </c>
      <c r="G33">
        <v>3.3251278875336698</v>
      </c>
      <c r="K33" t="s">
        <v>20</v>
      </c>
      <c r="L33">
        <v>67</v>
      </c>
      <c r="M33">
        <v>20</v>
      </c>
      <c r="N33">
        <f>100-M33</f>
        <v>80</v>
      </c>
      <c r="O33">
        <v>4.3293699999999999</v>
      </c>
      <c r="P33">
        <v>0.95618771535681202</v>
      </c>
      <c r="T33" t="s">
        <v>20</v>
      </c>
      <c r="U33">
        <v>273</v>
      </c>
      <c r="V33">
        <v>20</v>
      </c>
      <c r="W33">
        <f>100-V33</f>
        <v>80</v>
      </c>
      <c r="X33">
        <v>4.2464230000000001</v>
      </c>
      <c r="Y33">
        <v>1.1044102724714899</v>
      </c>
    </row>
    <row r="34" spans="2:25" x14ac:dyDescent="0.25">
      <c r="B34" t="s">
        <v>18</v>
      </c>
      <c r="C34">
        <v>21</v>
      </c>
      <c r="D34">
        <v>60</v>
      </c>
      <c r="E34">
        <f t="shared" ref="E34:E39" si="6">100-D34</f>
        <v>40</v>
      </c>
      <c r="F34">
        <v>4.5566469999999999</v>
      </c>
      <c r="G34">
        <v>3.2960277051746201</v>
      </c>
      <c r="K34" t="s">
        <v>20</v>
      </c>
      <c r="L34">
        <v>67</v>
      </c>
      <c r="M34">
        <v>30</v>
      </c>
      <c r="N34">
        <f>100-M34</f>
        <v>70</v>
      </c>
      <c r="O34">
        <v>4.3666609999999997</v>
      </c>
      <c r="P34">
        <v>0.95603857788380497</v>
      </c>
      <c r="T34" t="s">
        <v>20</v>
      </c>
      <c r="U34">
        <v>273</v>
      </c>
      <c r="V34">
        <v>30</v>
      </c>
      <c r="W34">
        <f>100-V34</f>
        <v>70</v>
      </c>
      <c r="X34">
        <v>4.07423</v>
      </c>
      <c r="Y34">
        <v>1.2622524763839</v>
      </c>
    </row>
    <row r="35" spans="2:25" x14ac:dyDescent="0.25">
      <c r="B35" t="s">
        <v>18</v>
      </c>
      <c r="C35">
        <v>21</v>
      </c>
      <c r="D35">
        <v>70</v>
      </c>
      <c r="E35">
        <f t="shared" si="6"/>
        <v>30</v>
      </c>
      <c r="F35">
        <v>4.2445830000000004</v>
      </c>
      <c r="G35">
        <v>6.1908994740970096</v>
      </c>
      <c r="K35" t="s">
        <v>20</v>
      </c>
      <c r="L35">
        <v>67</v>
      </c>
      <c r="M35">
        <v>40</v>
      </c>
      <c r="N35">
        <f t="shared" ref="N35:N44" si="7">100-M35</f>
        <v>60</v>
      </c>
      <c r="O35">
        <v>4.3353630000000001</v>
      </c>
      <c r="P35">
        <v>0.82669617948172902</v>
      </c>
      <c r="T35" t="s">
        <v>20</v>
      </c>
      <c r="U35">
        <v>273</v>
      </c>
      <c r="V35">
        <v>40</v>
      </c>
      <c r="W35">
        <f t="shared" ref="W35:W41" si="8">100-V35</f>
        <v>60</v>
      </c>
      <c r="X35">
        <v>4.1482510000000001</v>
      </c>
      <c r="Y35">
        <v>1.0948275269832399</v>
      </c>
    </row>
    <row r="36" spans="2:25" x14ac:dyDescent="0.25">
      <c r="B36" t="s">
        <v>18</v>
      </c>
      <c r="C36">
        <v>21</v>
      </c>
      <c r="D36">
        <v>75</v>
      </c>
      <c r="E36">
        <f t="shared" si="6"/>
        <v>25</v>
      </c>
      <c r="F36">
        <v>4.0320790000000004</v>
      </c>
      <c r="G36">
        <v>7.8574003481125301</v>
      </c>
      <c r="K36" t="s">
        <v>20</v>
      </c>
      <c r="L36">
        <v>67</v>
      </c>
      <c r="M36">
        <v>50</v>
      </c>
      <c r="N36">
        <f t="shared" si="7"/>
        <v>50</v>
      </c>
      <c r="O36">
        <v>4.2833180000000004</v>
      </c>
      <c r="P36">
        <v>1.0753106248670301</v>
      </c>
      <c r="T36" t="s">
        <v>20</v>
      </c>
      <c r="U36">
        <v>273</v>
      </c>
      <c r="V36">
        <v>50</v>
      </c>
      <c r="W36">
        <f t="shared" si="8"/>
        <v>50</v>
      </c>
      <c r="X36">
        <v>3.929942</v>
      </c>
      <c r="Y36">
        <v>2.5861346649227501</v>
      </c>
    </row>
    <row r="37" spans="2:25" x14ac:dyDescent="0.25">
      <c r="B37" s="1" t="s">
        <v>18</v>
      </c>
      <c r="C37" s="1">
        <v>21</v>
      </c>
      <c r="D37" s="1">
        <v>76</v>
      </c>
      <c r="E37" s="1">
        <f t="shared" si="6"/>
        <v>24</v>
      </c>
      <c r="F37" s="1">
        <v>4.1710250000000002</v>
      </c>
      <c r="G37" s="1">
        <v>9.1426031896147695</v>
      </c>
      <c r="K37" t="s">
        <v>20</v>
      </c>
      <c r="L37">
        <v>67</v>
      </c>
      <c r="M37">
        <v>60</v>
      </c>
      <c r="N37">
        <f t="shared" si="7"/>
        <v>40</v>
      </c>
      <c r="O37">
        <v>4.1439399999999997</v>
      </c>
      <c r="P37">
        <v>0.80735943992735404</v>
      </c>
      <c r="T37" t="s">
        <v>20</v>
      </c>
      <c r="U37">
        <v>273</v>
      </c>
      <c r="V37">
        <v>60</v>
      </c>
      <c r="W37">
        <f t="shared" si="8"/>
        <v>40</v>
      </c>
      <c r="X37">
        <v>3.7830430000000002</v>
      </c>
      <c r="Y37">
        <v>6.2726486404513802</v>
      </c>
    </row>
    <row r="38" spans="2:25" x14ac:dyDescent="0.25">
      <c r="B38" t="s">
        <v>18</v>
      </c>
      <c r="C38">
        <v>21</v>
      </c>
      <c r="D38">
        <v>77</v>
      </c>
      <c r="E38">
        <f t="shared" si="6"/>
        <v>23</v>
      </c>
      <c r="F38">
        <v>4.2286770000000002</v>
      </c>
      <c r="G38">
        <v>10.2488968671561</v>
      </c>
      <c r="K38" t="s">
        <v>20</v>
      </c>
      <c r="L38">
        <v>67</v>
      </c>
      <c r="M38">
        <v>70</v>
      </c>
      <c r="N38">
        <f t="shared" si="7"/>
        <v>30</v>
      </c>
      <c r="O38">
        <v>4.3980350000000001</v>
      </c>
      <c r="P38">
        <v>1.7600181761356899</v>
      </c>
      <c r="T38" s="1" t="s">
        <v>20</v>
      </c>
      <c r="U38" s="1">
        <v>273</v>
      </c>
      <c r="V38" s="1">
        <v>70</v>
      </c>
      <c r="W38" s="1">
        <f t="shared" si="8"/>
        <v>30</v>
      </c>
      <c r="X38" s="1">
        <v>3.9475859999999998</v>
      </c>
      <c r="Y38" s="1">
        <v>9.3023369943198695</v>
      </c>
    </row>
    <row r="39" spans="2:25" x14ac:dyDescent="0.25">
      <c r="B39" t="s">
        <v>18</v>
      </c>
      <c r="C39">
        <v>21</v>
      </c>
      <c r="D39">
        <v>80</v>
      </c>
      <c r="E39">
        <f t="shared" si="6"/>
        <v>20</v>
      </c>
      <c r="F39">
        <v>3.9727800000000002</v>
      </c>
      <c r="G39">
        <v>14.615728955242201</v>
      </c>
      <c r="K39" t="s">
        <v>20</v>
      </c>
      <c r="L39">
        <v>67</v>
      </c>
      <c r="M39">
        <v>80</v>
      </c>
      <c r="N39">
        <f t="shared" si="7"/>
        <v>20</v>
      </c>
      <c r="O39">
        <v>4.0491979999999996</v>
      </c>
      <c r="P39">
        <v>2.99855621318875</v>
      </c>
      <c r="T39" t="s">
        <v>20</v>
      </c>
      <c r="U39">
        <v>273</v>
      </c>
      <c r="V39">
        <v>71</v>
      </c>
      <c r="W39">
        <f t="shared" si="8"/>
        <v>29</v>
      </c>
      <c r="X39">
        <v>4.1091069999999998</v>
      </c>
      <c r="Y39">
        <v>14.592864973237299</v>
      </c>
    </row>
    <row r="40" spans="2:25" x14ac:dyDescent="0.25">
      <c r="K40" t="s">
        <v>20</v>
      </c>
      <c r="L40">
        <v>67</v>
      </c>
      <c r="M40">
        <v>85</v>
      </c>
      <c r="N40">
        <f t="shared" si="7"/>
        <v>15</v>
      </c>
      <c r="O40">
        <v>4.1886599999999996</v>
      </c>
      <c r="P40">
        <v>3.2973837793274301</v>
      </c>
      <c r="T40" s="2" t="s">
        <v>20</v>
      </c>
      <c r="U40">
        <v>273</v>
      </c>
      <c r="V40" s="2">
        <v>72</v>
      </c>
      <c r="W40">
        <f t="shared" si="8"/>
        <v>28</v>
      </c>
      <c r="X40" s="2">
        <v>3.8065709999999999</v>
      </c>
      <c r="Y40" s="2">
        <v>14.673985196179</v>
      </c>
    </row>
    <row r="41" spans="2:25" x14ac:dyDescent="0.25">
      <c r="K41" t="s">
        <v>20</v>
      </c>
      <c r="L41">
        <v>67</v>
      </c>
      <c r="M41">
        <v>87</v>
      </c>
      <c r="N41">
        <f t="shared" si="7"/>
        <v>13</v>
      </c>
      <c r="O41">
        <v>3.8084169999999999</v>
      </c>
      <c r="P41">
        <v>4.8744357255642603</v>
      </c>
      <c r="T41" t="s">
        <v>20</v>
      </c>
      <c r="U41">
        <v>273</v>
      </c>
      <c r="V41">
        <v>75</v>
      </c>
      <c r="W41">
        <f t="shared" si="8"/>
        <v>25</v>
      </c>
      <c r="X41">
        <v>3.8221780000000001</v>
      </c>
      <c r="Y41">
        <v>19.776639149117798</v>
      </c>
    </row>
    <row r="42" spans="2:25" x14ac:dyDescent="0.25">
      <c r="K42" s="3" t="s">
        <v>20</v>
      </c>
      <c r="L42" s="3">
        <v>67</v>
      </c>
      <c r="M42" s="3">
        <v>88</v>
      </c>
      <c r="N42" s="3">
        <f t="shared" si="7"/>
        <v>12</v>
      </c>
      <c r="O42" s="3">
        <v>3.8766889999999998</v>
      </c>
      <c r="P42" s="3">
        <v>4.8733845302284102</v>
      </c>
    </row>
    <row r="43" spans="2:25" x14ac:dyDescent="0.25">
      <c r="B43" t="s">
        <v>4</v>
      </c>
      <c r="C43" t="s">
        <v>10</v>
      </c>
      <c r="D43" t="s">
        <v>11</v>
      </c>
      <c r="E43" t="s">
        <v>12</v>
      </c>
      <c r="F43" t="s">
        <v>13</v>
      </c>
      <c r="G43" t="s">
        <v>3</v>
      </c>
      <c r="K43" t="s">
        <v>20</v>
      </c>
      <c r="L43">
        <v>67</v>
      </c>
      <c r="M43">
        <v>89</v>
      </c>
      <c r="N43">
        <f t="shared" si="7"/>
        <v>11</v>
      </c>
      <c r="O43">
        <v>3.8752309999999999</v>
      </c>
      <c r="P43">
        <v>10.1692586239009</v>
      </c>
    </row>
    <row r="44" spans="2:25" x14ac:dyDescent="0.25">
      <c r="B44" t="s">
        <v>19</v>
      </c>
      <c r="C44">
        <v>21</v>
      </c>
      <c r="D44">
        <v>20</v>
      </c>
      <c r="E44">
        <f>100-D44</f>
        <v>80</v>
      </c>
      <c r="F44">
        <v>3.798006</v>
      </c>
      <c r="G44">
        <v>1.09623238473411</v>
      </c>
      <c r="K44" t="s">
        <v>20</v>
      </c>
      <c r="L44">
        <v>67</v>
      </c>
      <c r="M44">
        <v>90</v>
      </c>
      <c r="N44">
        <f t="shared" si="7"/>
        <v>10</v>
      </c>
      <c r="O44">
        <v>4.5183850000000003</v>
      </c>
      <c r="P44">
        <v>26.312339557995202</v>
      </c>
    </row>
    <row r="45" spans="2:25" x14ac:dyDescent="0.25">
      <c r="B45" t="s">
        <v>19</v>
      </c>
      <c r="C45">
        <v>21</v>
      </c>
      <c r="D45">
        <v>30</v>
      </c>
      <c r="E45">
        <f t="shared" ref="E45:E52" si="9">100-D45</f>
        <v>70</v>
      </c>
      <c r="F45">
        <v>3.6165859999999999</v>
      </c>
      <c r="G45">
        <v>1.1204994678468101</v>
      </c>
      <c r="T45" t="s">
        <v>4</v>
      </c>
      <c r="U45" t="s">
        <v>10</v>
      </c>
      <c r="V45" t="s">
        <v>11</v>
      </c>
      <c r="W45" t="s">
        <v>12</v>
      </c>
      <c r="X45" t="s">
        <v>13</v>
      </c>
      <c r="Y45" t="s">
        <v>3</v>
      </c>
    </row>
    <row r="46" spans="2:25" x14ac:dyDescent="0.25">
      <c r="B46" t="s">
        <v>19</v>
      </c>
      <c r="C46">
        <v>21</v>
      </c>
      <c r="D46">
        <v>40</v>
      </c>
      <c r="E46">
        <f t="shared" si="9"/>
        <v>60</v>
      </c>
      <c r="F46">
        <v>3.4993479999999999</v>
      </c>
      <c r="G46">
        <v>1.1924368073990499</v>
      </c>
      <c r="T46" t="s">
        <v>17</v>
      </c>
      <c r="U46">
        <v>273</v>
      </c>
      <c r="V46">
        <v>20</v>
      </c>
      <c r="W46">
        <f t="shared" ref="W46:W52" si="10">100-V46</f>
        <v>80</v>
      </c>
      <c r="X46">
        <v>3.419454</v>
      </c>
      <c r="Y46">
        <v>1.0507836687630401</v>
      </c>
    </row>
    <row r="47" spans="2:25" x14ac:dyDescent="0.25">
      <c r="B47" t="s">
        <v>19</v>
      </c>
      <c r="C47">
        <v>21</v>
      </c>
      <c r="D47">
        <v>50</v>
      </c>
      <c r="E47">
        <f>100-D47</f>
        <v>50</v>
      </c>
      <c r="F47">
        <v>3.7071260000000001</v>
      </c>
      <c r="G47">
        <v>2.2542370432974401</v>
      </c>
      <c r="T47" t="s">
        <v>17</v>
      </c>
      <c r="U47">
        <v>273</v>
      </c>
      <c r="V47">
        <v>30</v>
      </c>
      <c r="W47">
        <f t="shared" si="10"/>
        <v>70</v>
      </c>
      <c r="X47">
        <v>3.416671</v>
      </c>
      <c r="Y47">
        <v>1.2168178509259799</v>
      </c>
    </row>
    <row r="48" spans="2:25" x14ac:dyDescent="0.25">
      <c r="B48" t="s">
        <v>19</v>
      </c>
      <c r="C48">
        <v>21</v>
      </c>
      <c r="D48">
        <v>60</v>
      </c>
      <c r="E48">
        <f t="shared" si="9"/>
        <v>40</v>
      </c>
      <c r="F48">
        <v>3.4910459999999999</v>
      </c>
      <c r="G48">
        <v>7.4050337506286601</v>
      </c>
      <c r="K48" t="s">
        <v>4</v>
      </c>
      <c r="L48" t="s">
        <v>10</v>
      </c>
      <c r="M48" t="s">
        <v>11</v>
      </c>
      <c r="N48" t="s">
        <v>12</v>
      </c>
      <c r="O48" t="s">
        <v>13</v>
      </c>
      <c r="P48" t="s">
        <v>3</v>
      </c>
      <c r="T48" t="s">
        <v>17</v>
      </c>
      <c r="U48">
        <v>273</v>
      </c>
      <c r="V48">
        <v>40</v>
      </c>
      <c r="W48">
        <f t="shared" si="10"/>
        <v>60</v>
      </c>
      <c r="X48">
        <v>3.3503699999999998</v>
      </c>
      <c r="Y48">
        <v>1.1666345867289301</v>
      </c>
    </row>
    <row r="49" spans="2:25" x14ac:dyDescent="0.25">
      <c r="B49" s="1" t="s">
        <v>19</v>
      </c>
      <c r="C49" s="1">
        <v>21</v>
      </c>
      <c r="D49" s="1">
        <v>70</v>
      </c>
      <c r="E49" s="1">
        <f t="shared" si="9"/>
        <v>30</v>
      </c>
      <c r="F49" s="1">
        <v>3.3725719999999999</v>
      </c>
      <c r="G49" s="1">
        <v>9.7188957373631695</v>
      </c>
      <c r="K49" t="s">
        <v>17</v>
      </c>
      <c r="L49">
        <v>67</v>
      </c>
      <c r="M49">
        <v>20</v>
      </c>
      <c r="N49">
        <f>100-M49</f>
        <v>80</v>
      </c>
      <c r="O49">
        <v>3.5900850000000002</v>
      </c>
      <c r="P49">
        <v>0.99221001257581498</v>
      </c>
      <c r="T49" t="s">
        <v>17</v>
      </c>
      <c r="U49">
        <v>273</v>
      </c>
      <c r="V49">
        <v>50</v>
      </c>
      <c r="W49">
        <f t="shared" si="10"/>
        <v>50</v>
      </c>
      <c r="X49">
        <v>3.3185470000000001</v>
      </c>
      <c r="Y49">
        <v>2.6568295721354098</v>
      </c>
    </row>
    <row r="50" spans="2:25" x14ac:dyDescent="0.25">
      <c r="B50" t="s">
        <v>19</v>
      </c>
      <c r="C50">
        <v>21</v>
      </c>
      <c r="D50">
        <v>71</v>
      </c>
      <c r="E50">
        <f t="shared" si="9"/>
        <v>29</v>
      </c>
      <c r="F50">
        <v>3.6360969999999999</v>
      </c>
      <c r="G50">
        <v>13.104710697468899</v>
      </c>
      <c r="K50" t="s">
        <v>17</v>
      </c>
      <c r="L50">
        <v>67</v>
      </c>
      <c r="M50">
        <v>30</v>
      </c>
      <c r="N50">
        <f>100-M50</f>
        <v>70</v>
      </c>
      <c r="O50">
        <v>3.4574289999999999</v>
      </c>
      <c r="P50">
        <v>1.06306059510761</v>
      </c>
      <c r="T50" t="s">
        <v>17</v>
      </c>
      <c r="U50">
        <v>273</v>
      </c>
      <c r="V50">
        <v>60</v>
      </c>
      <c r="W50">
        <f t="shared" si="10"/>
        <v>40</v>
      </c>
      <c r="X50">
        <v>3.6765949999999998</v>
      </c>
      <c r="Y50">
        <v>5.64177822210236</v>
      </c>
    </row>
    <row r="51" spans="2:25" x14ac:dyDescent="0.25">
      <c r="B51" t="s">
        <v>19</v>
      </c>
      <c r="C51">
        <v>21</v>
      </c>
      <c r="D51">
        <v>72</v>
      </c>
      <c r="E51">
        <f t="shared" si="9"/>
        <v>28</v>
      </c>
      <c r="F51">
        <v>3.2246570000000001</v>
      </c>
      <c r="G51">
        <v>11.0358307726822</v>
      </c>
      <c r="K51" t="s">
        <v>17</v>
      </c>
      <c r="L51">
        <v>67</v>
      </c>
      <c r="M51">
        <v>40</v>
      </c>
      <c r="N51">
        <f t="shared" ref="N51:N59" si="11">100-M51</f>
        <v>60</v>
      </c>
      <c r="O51">
        <v>3.428906</v>
      </c>
      <c r="P51">
        <v>0.79695308624105499</v>
      </c>
      <c r="T51" s="1" t="s">
        <v>17</v>
      </c>
      <c r="U51" s="1">
        <v>273</v>
      </c>
      <c r="V51" s="1">
        <v>69</v>
      </c>
      <c r="W51" s="1">
        <f t="shared" si="10"/>
        <v>31</v>
      </c>
      <c r="X51" s="1">
        <v>3.291188</v>
      </c>
      <c r="Y51" s="1">
        <v>8.2220864983714801</v>
      </c>
    </row>
    <row r="52" spans="2:25" x14ac:dyDescent="0.25">
      <c r="B52" t="s">
        <v>19</v>
      </c>
      <c r="C52">
        <v>21</v>
      </c>
      <c r="D52">
        <v>75</v>
      </c>
      <c r="E52">
        <f t="shared" si="9"/>
        <v>25</v>
      </c>
      <c r="F52">
        <v>3.5051040000000002</v>
      </c>
      <c r="G52">
        <v>16.0345126014893</v>
      </c>
      <c r="K52" t="s">
        <v>17</v>
      </c>
      <c r="L52">
        <v>67</v>
      </c>
      <c r="M52">
        <v>50</v>
      </c>
      <c r="N52">
        <f t="shared" si="11"/>
        <v>50</v>
      </c>
      <c r="O52">
        <v>3.3142390000000002</v>
      </c>
      <c r="P52">
        <v>1.22684428995223</v>
      </c>
      <c r="T52" t="s">
        <v>17</v>
      </c>
      <c r="U52">
        <v>273</v>
      </c>
      <c r="V52">
        <v>70</v>
      </c>
      <c r="W52">
        <f t="shared" si="10"/>
        <v>30</v>
      </c>
      <c r="X52">
        <v>3.2420309999999999</v>
      </c>
      <c r="Y52">
        <v>10.429361942148599</v>
      </c>
    </row>
    <row r="53" spans="2:25" x14ac:dyDescent="0.25">
      <c r="K53" t="s">
        <v>17</v>
      </c>
      <c r="L53">
        <v>67</v>
      </c>
      <c r="M53">
        <v>60</v>
      </c>
      <c r="N53">
        <f t="shared" si="11"/>
        <v>40</v>
      </c>
      <c r="O53">
        <v>3.2831130000000002</v>
      </c>
      <c r="P53">
        <v>0.72629050415346597</v>
      </c>
    </row>
    <row r="54" spans="2:25" x14ac:dyDescent="0.25">
      <c r="K54" t="s">
        <v>17</v>
      </c>
      <c r="L54">
        <v>67</v>
      </c>
      <c r="M54">
        <v>70</v>
      </c>
      <c r="N54">
        <f t="shared" si="11"/>
        <v>30</v>
      </c>
      <c r="O54">
        <v>3.205276</v>
      </c>
      <c r="P54">
        <v>1.77864123292764</v>
      </c>
    </row>
    <row r="55" spans="2:25" x14ac:dyDescent="0.25">
      <c r="K55" t="s">
        <v>17</v>
      </c>
      <c r="L55">
        <v>67</v>
      </c>
      <c r="M55">
        <v>80</v>
      </c>
      <c r="N55">
        <f t="shared" si="11"/>
        <v>20</v>
      </c>
      <c r="O55">
        <v>3.143796</v>
      </c>
      <c r="P55">
        <v>3.55566874626177</v>
      </c>
    </row>
    <row r="56" spans="2:25" x14ac:dyDescent="0.25">
      <c r="K56" t="s">
        <v>17</v>
      </c>
      <c r="L56">
        <v>67</v>
      </c>
      <c r="M56">
        <v>85</v>
      </c>
      <c r="N56">
        <f t="shared" si="11"/>
        <v>15</v>
      </c>
      <c r="O56">
        <v>3.2398020000000001</v>
      </c>
      <c r="P56">
        <v>3.2551129895411499</v>
      </c>
    </row>
    <row r="57" spans="2:25" x14ac:dyDescent="0.25">
      <c r="K57" s="1" t="s">
        <v>17</v>
      </c>
      <c r="L57" s="1">
        <v>67</v>
      </c>
      <c r="M57" s="1">
        <v>88</v>
      </c>
      <c r="N57" s="1">
        <f t="shared" si="11"/>
        <v>12</v>
      </c>
      <c r="O57" s="1">
        <v>3.1689750000000001</v>
      </c>
      <c r="P57" s="1">
        <v>6.5240588850800298</v>
      </c>
    </row>
    <row r="58" spans="2:25" x14ac:dyDescent="0.25">
      <c r="K58" t="s">
        <v>17</v>
      </c>
      <c r="L58">
        <v>67</v>
      </c>
      <c r="M58">
        <v>89</v>
      </c>
      <c r="N58">
        <f t="shared" si="11"/>
        <v>11</v>
      </c>
      <c r="O58">
        <v>3.3983789999999998</v>
      </c>
      <c r="P58">
        <v>10.9767886116438</v>
      </c>
    </row>
    <row r="59" spans="2:25" x14ac:dyDescent="0.25">
      <c r="K59" t="s">
        <v>17</v>
      </c>
      <c r="L59">
        <v>67</v>
      </c>
      <c r="M59">
        <v>90</v>
      </c>
      <c r="N59">
        <f t="shared" si="11"/>
        <v>10</v>
      </c>
      <c r="O59">
        <v>3.175011</v>
      </c>
      <c r="P59">
        <v>26.092171450244301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8CA0-6835-4BE7-B60D-A90C6C111881}">
  <dimension ref="C2:Z34"/>
  <sheetViews>
    <sheetView workbookViewId="0">
      <selection activeCell="H34" sqref="H34"/>
    </sheetView>
  </sheetViews>
  <sheetFormatPr defaultRowHeight="15" x14ac:dyDescent="0.25"/>
  <sheetData>
    <row r="2" spans="3:26" x14ac:dyDescent="0.25">
      <c r="C2" t="s">
        <v>25</v>
      </c>
    </row>
    <row r="4" spans="3:26" x14ac:dyDescent="0.25">
      <c r="C4" t="s">
        <v>4</v>
      </c>
      <c r="D4" t="s">
        <v>24</v>
      </c>
      <c r="E4" t="s">
        <v>21</v>
      </c>
      <c r="F4" t="s">
        <v>22</v>
      </c>
      <c r="G4" t="s">
        <v>3</v>
      </c>
      <c r="H4" t="s">
        <v>23</v>
      </c>
      <c r="L4" t="s">
        <v>4</v>
      </c>
      <c r="M4" t="s">
        <v>24</v>
      </c>
      <c r="N4" t="s">
        <v>21</v>
      </c>
      <c r="O4" t="s">
        <v>22</v>
      </c>
      <c r="P4" t="s">
        <v>3</v>
      </c>
      <c r="Q4" t="s">
        <v>23</v>
      </c>
      <c r="U4" t="s">
        <v>4</v>
      </c>
      <c r="V4" t="s">
        <v>24</v>
      </c>
      <c r="W4" t="s">
        <v>21</v>
      </c>
      <c r="X4" t="s">
        <v>22</v>
      </c>
      <c r="Y4" t="s">
        <v>3</v>
      </c>
      <c r="Z4" t="s">
        <v>23</v>
      </c>
    </row>
    <row r="5" spans="3:26" x14ac:dyDescent="0.25">
      <c r="C5" t="s">
        <v>14</v>
      </c>
      <c r="D5">
        <v>12</v>
      </c>
      <c r="E5">
        <v>10</v>
      </c>
      <c r="F5">
        <f t="shared" ref="F5:F10" si="0">E5*10</f>
        <v>100</v>
      </c>
      <c r="G5">
        <v>27.067644533518202</v>
      </c>
      <c r="H5">
        <v>2.4413990000000001</v>
      </c>
      <c r="L5" t="s">
        <v>14</v>
      </c>
      <c r="M5">
        <v>897</v>
      </c>
      <c r="N5">
        <v>10</v>
      </c>
      <c r="O5">
        <f t="shared" ref="O5:O10" si="1">N5*10</f>
        <v>100</v>
      </c>
      <c r="P5">
        <v>27.905696392471199</v>
      </c>
      <c r="Q5">
        <v>2.358079</v>
      </c>
      <c r="U5" t="s">
        <v>14</v>
      </c>
      <c r="V5">
        <v>222</v>
      </c>
      <c r="W5">
        <v>10</v>
      </c>
      <c r="X5">
        <f t="shared" ref="X5:X10" si="2">W5*10</f>
        <v>100</v>
      </c>
      <c r="Y5">
        <v>34.542869103129398</v>
      </c>
      <c r="Z5">
        <v>2.494653</v>
      </c>
    </row>
    <row r="6" spans="3:26" x14ac:dyDescent="0.25">
      <c r="C6" t="s">
        <v>14</v>
      </c>
      <c r="D6">
        <v>12</v>
      </c>
      <c r="E6">
        <v>20</v>
      </c>
      <c r="F6">
        <f t="shared" si="0"/>
        <v>200</v>
      </c>
      <c r="G6">
        <v>25.065139891208201</v>
      </c>
      <c r="H6">
        <v>3.2889590000000002</v>
      </c>
      <c r="L6" t="s">
        <v>14</v>
      </c>
      <c r="M6">
        <v>897</v>
      </c>
      <c r="N6">
        <v>20</v>
      </c>
      <c r="O6">
        <f t="shared" si="1"/>
        <v>200</v>
      </c>
      <c r="P6">
        <v>31.035007971227301</v>
      </c>
      <c r="Q6">
        <v>2.8756140000000001</v>
      </c>
      <c r="U6" t="s">
        <v>14</v>
      </c>
      <c r="V6">
        <v>222</v>
      </c>
      <c r="W6">
        <v>20</v>
      </c>
      <c r="X6">
        <f t="shared" si="2"/>
        <v>200</v>
      </c>
      <c r="Y6">
        <v>29.350406033471</v>
      </c>
      <c r="Z6">
        <v>2.968601</v>
      </c>
    </row>
    <row r="7" spans="3:26" x14ac:dyDescent="0.25">
      <c r="C7" t="s">
        <v>14</v>
      </c>
      <c r="D7">
        <v>12</v>
      </c>
      <c r="E7">
        <v>30</v>
      </c>
      <c r="F7">
        <f t="shared" si="0"/>
        <v>300</v>
      </c>
      <c r="G7">
        <v>26.040091000986699</v>
      </c>
      <c r="H7">
        <v>3.6949800000000002</v>
      </c>
      <c r="L7" t="s">
        <v>14</v>
      </c>
      <c r="M7">
        <v>897</v>
      </c>
      <c r="N7">
        <v>30</v>
      </c>
      <c r="O7">
        <f t="shared" si="1"/>
        <v>300</v>
      </c>
      <c r="P7">
        <v>25.215290780456801</v>
      </c>
      <c r="Q7">
        <v>3.6854819999999999</v>
      </c>
      <c r="U7" t="s">
        <v>14</v>
      </c>
      <c r="V7">
        <v>222</v>
      </c>
      <c r="W7">
        <v>30</v>
      </c>
      <c r="X7">
        <f t="shared" si="2"/>
        <v>300</v>
      </c>
      <c r="Y7">
        <v>25.0274449764315</v>
      </c>
      <c r="Z7">
        <v>3.9148209999999999</v>
      </c>
    </row>
    <row r="8" spans="3:26" x14ac:dyDescent="0.25">
      <c r="C8" t="s">
        <v>14</v>
      </c>
      <c r="D8">
        <v>12</v>
      </c>
      <c r="E8">
        <v>40</v>
      </c>
      <c r="F8">
        <f t="shared" si="0"/>
        <v>400</v>
      </c>
      <c r="G8">
        <v>22.4279669536363</v>
      </c>
      <c r="H8">
        <v>4.6805760000000003</v>
      </c>
      <c r="L8" t="s">
        <v>14</v>
      </c>
      <c r="M8">
        <v>897</v>
      </c>
      <c r="N8">
        <v>40</v>
      </c>
      <c r="O8">
        <f t="shared" si="1"/>
        <v>400</v>
      </c>
      <c r="P8">
        <v>23.791903155583601</v>
      </c>
      <c r="Q8">
        <v>4.6287760000000002</v>
      </c>
      <c r="U8" t="s">
        <v>14</v>
      </c>
      <c r="V8">
        <v>222</v>
      </c>
      <c r="W8">
        <v>40</v>
      </c>
      <c r="X8">
        <f t="shared" si="2"/>
        <v>400</v>
      </c>
      <c r="Y8">
        <v>24.158735130023398</v>
      </c>
      <c r="Z8">
        <v>4.6456569999999999</v>
      </c>
    </row>
    <row r="9" spans="3:26" x14ac:dyDescent="0.25">
      <c r="C9" t="s">
        <v>14</v>
      </c>
      <c r="D9">
        <v>12</v>
      </c>
      <c r="E9">
        <v>50</v>
      </c>
      <c r="F9">
        <f t="shared" si="0"/>
        <v>500</v>
      </c>
      <c r="G9">
        <v>14.706233178372701</v>
      </c>
      <c r="H9">
        <v>6.7667919999999997</v>
      </c>
      <c r="L9" t="s">
        <v>14</v>
      </c>
      <c r="M9">
        <v>897</v>
      </c>
      <c r="N9">
        <v>50</v>
      </c>
      <c r="O9">
        <f t="shared" si="1"/>
        <v>500</v>
      </c>
      <c r="P9">
        <v>10.5884916115577</v>
      </c>
      <c r="Q9">
        <v>6.3287659999999999</v>
      </c>
      <c r="U9" t="s">
        <v>14</v>
      </c>
      <c r="V9">
        <v>222</v>
      </c>
      <c r="W9">
        <v>50</v>
      </c>
      <c r="X9">
        <f t="shared" si="2"/>
        <v>500</v>
      </c>
      <c r="Y9">
        <v>11.138059249209199</v>
      </c>
      <c r="Z9">
        <v>6.9251709999999997</v>
      </c>
    </row>
    <row r="10" spans="3:26" x14ac:dyDescent="0.25">
      <c r="C10" s="1" t="s">
        <v>14</v>
      </c>
      <c r="D10" s="1">
        <v>12</v>
      </c>
      <c r="E10" s="1">
        <v>60</v>
      </c>
      <c r="F10" s="1">
        <f t="shared" si="0"/>
        <v>600</v>
      </c>
      <c r="G10" s="1">
        <v>5.6381415644590804</v>
      </c>
      <c r="H10" s="1">
        <v>8.4595520000000004</v>
      </c>
      <c r="L10" s="1" t="s">
        <v>14</v>
      </c>
      <c r="M10" s="1">
        <v>897</v>
      </c>
      <c r="N10" s="1">
        <v>60</v>
      </c>
      <c r="O10" s="1">
        <f t="shared" si="1"/>
        <v>600</v>
      </c>
      <c r="P10" s="1">
        <v>4.11634455167294</v>
      </c>
      <c r="Q10" s="1">
        <v>8.4073530000000005</v>
      </c>
      <c r="U10" s="1" t="s">
        <v>14</v>
      </c>
      <c r="V10" s="1">
        <v>222</v>
      </c>
      <c r="W10" s="1">
        <v>60</v>
      </c>
      <c r="X10" s="1">
        <f t="shared" si="2"/>
        <v>600</v>
      </c>
      <c r="Y10" s="1">
        <v>4.3926926307742598</v>
      </c>
      <c r="Z10" s="1">
        <v>10.012090000000001</v>
      </c>
    </row>
    <row r="14" spans="3:26" x14ac:dyDescent="0.25">
      <c r="C14" t="s">
        <v>4</v>
      </c>
      <c r="D14" t="s">
        <v>24</v>
      </c>
      <c r="E14" t="s">
        <v>21</v>
      </c>
      <c r="F14" t="s">
        <v>22</v>
      </c>
      <c r="G14" t="s">
        <v>3</v>
      </c>
      <c r="H14" t="s">
        <v>23</v>
      </c>
      <c r="L14" t="s">
        <v>4</v>
      </c>
      <c r="M14" t="s">
        <v>24</v>
      </c>
      <c r="N14" t="s">
        <v>21</v>
      </c>
      <c r="O14" t="s">
        <v>22</v>
      </c>
      <c r="P14" t="s">
        <v>3</v>
      </c>
      <c r="Q14" t="s">
        <v>23</v>
      </c>
      <c r="U14" t="s">
        <v>4</v>
      </c>
      <c r="V14" t="s">
        <v>24</v>
      </c>
      <c r="W14" t="s">
        <v>21</v>
      </c>
      <c r="X14" t="s">
        <v>22</v>
      </c>
      <c r="Y14" t="s">
        <v>3</v>
      </c>
      <c r="Z14" t="s">
        <v>23</v>
      </c>
    </row>
    <row r="15" spans="3:26" x14ac:dyDescent="0.25">
      <c r="C15" t="s">
        <v>15</v>
      </c>
      <c r="D15">
        <v>12</v>
      </c>
      <c r="E15">
        <v>10</v>
      </c>
      <c r="F15">
        <f t="shared" ref="F15:F20" si="3">E15*10</f>
        <v>100</v>
      </c>
      <c r="G15">
        <v>131.92761749275101</v>
      </c>
      <c r="H15">
        <v>2.4925329999999999</v>
      </c>
      <c r="L15" t="s">
        <v>15</v>
      </c>
      <c r="M15">
        <v>897</v>
      </c>
      <c r="N15">
        <v>10</v>
      </c>
      <c r="O15">
        <f t="shared" ref="O15:O20" si="4">N15*10</f>
        <v>100</v>
      </c>
      <c r="P15">
        <v>162.42293833171701</v>
      </c>
      <c r="Q15">
        <v>2.507701</v>
      </c>
      <c r="U15" t="s">
        <v>15</v>
      </c>
      <c r="V15">
        <v>222</v>
      </c>
      <c r="W15">
        <v>10</v>
      </c>
      <c r="X15">
        <f t="shared" ref="X15:X20" si="5">W15*10</f>
        <v>100</v>
      </c>
      <c r="Y15">
        <v>166.02296302304299</v>
      </c>
      <c r="Z15">
        <v>2.7786970000000002</v>
      </c>
    </row>
    <row r="16" spans="3:26" x14ac:dyDescent="0.25">
      <c r="C16" t="s">
        <v>15</v>
      </c>
      <c r="D16">
        <v>12</v>
      </c>
      <c r="E16">
        <v>20</v>
      </c>
      <c r="F16">
        <f t="shared" si="3"/>
        <v>200</v>
      </c>
      <c r="G16">
        <v>60.218836903454097</v>
      </c>
      <c r="H16">
        <v>2.9884019999999998</v>
      </c>
      <c r="L16" t="s">
        <v>15</v>
      </c>
      <c r="M16">
        <v>897</v>
      </c>
      <c r="N16">
        <v>20</v>
      </c>
      <c r="O16">
        <f t="shared" si="4"/>
        <v>200</v>
      </c>
      <c r="P16">
        <v>96.058627624995097</v>
      </c>
      <c r="Q16">
        <v>3.068695</v>
      </c>
      <c r="U16" t="s">
        <v>15</v>
      </c>
      <c r="V16">
        <v>222</v>
      </c>
      <c r="W16">
        <v>20</v>
      </c>
      <c r="X16">
        <f t="shared" si="5"/>
        <v>200</v>
      </c>
      <c r="Y16">
        <v>103.561007845657</v>
      </c>
      <c r="Z16">
        <v>2.9112749999999998</v>
      </c>
    </row>
    <row r="17" spans="3:26" x14ac:dyDescent="0.25">
      <c r="C17" t="s">
        <v>15</v>
      </c>
      <c r="D17">
        <v>12</v>
      </c>
      <c r="E17">
        <v>30</v>
      </c>
      <c r="F17">
        <f t="shared" si="3"/>
        <v>300</v>
      </c>
      <c r="G17">
        <v>36.570089432438103</v>
      </c>
      <c r="H17">
        <v>3.7124990000000002</v>
      </c>
      <c r="L17" t="s">
        <v>15</v>
      </c>
      <c r="M17">
        <v>897</v>
      </c>
      <c r="N17">
        <v>30</v>
      </c>
      <c r="O17">
        <f t="shared" si="4"/>
        <v>300</v>
      </c>
      <c r="P17">
        <v>44.219263578304997</v>
      </c>
      <c r="Q17">
        <v>3.956874</v>
      </c>
      <c r="U17" t="s">
        <v>15</v>
      </c>
      <c r="V17">
        <v>222</v>
      </c>
      <c r="W17">
        <v>30</v>
      </c>
      <c r="X17">
        <f t="shared" si="5"/>
        <v>300</v>
      </c>
      <c r="Y17">
        <v>24.1356326143096</v>
      </c>
      <c r="Z17">
        <v>3.726909</v>
      </c>
    </row>
    <row r="18" spans="3:26" x14ac:dyDescent="0.25">
      <c r="C18" t="s">
        <v>15</v>
      </c>
      <c r="D18">
        <v>12</v>
      </c>
      <c r="E18">
        <v>40</v>
      </c>
      <c r="F18">
        <f t="shared" si="3"/>
        <v>400</v>
      </c>
      <c r="G18">
        <v>82.169498699368106</v>
      </c>
      <c r="H18">
        <v>4.7797409999999996</v>
      </c>
      <c r="L18" t="s">
        <v>15</v>
      </c>
      <c r="M18">
        <v>897</v>
      </c>
      <c r="N18">
        <v>40</v>
      </c>
      <c r="O18">
        <f t="shared" si="4"/>
        <v>400</v>
      </c>
      <c r="P18">
        <v>32.777738925899001</v>
      </c>
      <c r="Q18">
        <v>4.7163149999999998</v>
      </c>
      <c r="U18" t="s">
        <v>15</v>
      </c>
      <c r="V18">
        <v>222</v>
      </c>
      <c r="W18">
        <v>40</v>
      </c>
      <c r="X18">
        <f t="shared" si="5"/>
        <v>400</v>
      </c>
      <c r="Y18">
        <v>27.229477707662401</v>
      </c>
      <c r="Z18">
        <v>4.7542780000000002</v>
      </c>
    </row>
    <row r="19" spans="3:26" x14ac:dyDescent="0.25">
      <c r="C19" t="s">
        <v>15</v>
      </c>
      <c r="D19">
        <v>12</v>
      </c>
      <c r="E19">
        <v>50</v>
      </c>
      <c r="F19">
        <f t="shared" si="3"/>
        <v>500</v>
      </c>
      <c r="G19">
        <v>37.995272424315402</v>
      </c>
      <c r="H19">
        <v>6.182734</v>
      </c>
      <c r="L19" t="s">
        <v>15</v>
      </c>
      <c r="M19">
        <v>897</v>
      </c>
      <c r="N19">
        <v>50</v>
      </c>
      <c r="O19">
        <f t="shared" si="4"/>
        <v>500</v>
      </c>
      <c r="P19">
        <v>25.503647118140901</v>
      </c>
      <c r="Q19">
        <v>6.2737170000000004</v>
      </c>
      <c r="U19" t="s">
        <v>15</v>
      </c>
      <c r="V19">
        <v>222</v>
      </c>
      <c r="W19">
        <v>50</v>
      </c>
      <c r="X19">
        <f t="shared" si="5"/>
        <v>500</v>
      </c>
      <c r="Y19">
        <v>18.9943607818097</v>
      </c>
      <c r="Z19">
        <v>6.3167879999999998</v>
      </c>
    </row>
    <row r="20" spans="3:26" x14ac:dyDescent="0.25">
      <c r="C20" s="1" t="s">
        <v>15</v>
      </c>
      <c r="D20" s="1">
        <v>12</v>
      </c>
      <c r="E20" s="1">
        <v>60</v>
      </c>
      <c r="F20" s="1">
        <f t="shared" si="3"/>
        <v>600</v>
      </c>
      <c r="G20" s="1">
        <v>6.8553692018515999</v>
      </c>
      <c r="H20" s="1">
        <v>8.3935040000000001</v>
      </c>
      <c r="L20" s="1" t="s">
        <v>15</v>
      </c>
      <c r="M20" s="1">
        <v>897</v>
      </c>
      <c r="N20" s="1">
        <v>60</v>
      </c>
      <c r="O20" s="1">
        <f t="shared" si="4"/>
        <v>600</v>
      </c>
      <c r="P20" s="1">
        <v>6.0325239234353596</v>
      </c>
      <c r="Q20" s="1">
        <v>8.5444879999999994</v>
      </c>
      <c r="U20" s="1" t="s">
        <v>15</v>
      </c>
      <c r="V20" s="1">
        <v>222</v>
      </c>
      <c r="W20" s="1">
        <v>60</v>
      </c>
      <c r="X20" s="1">
        <f t="shared" si="5"/>
        <v>600</v>
      </c>
      <c r="Y20" s="1">
        <v>8.1366241544196907</v>
      </c>
      <c r="Z20" s="1">
        <v>8.6967400000000001</v>
      </c>
    </row>
    <row r="24" spans="3:26" x14ac:dyDescent="0.25">
      <c r="C24" t="s">
        <v>4</v>
      </c>
      <c r="D24" t="s">
        <v>24</v>
      </c>
      <c r="E24" t="s">
        <v>21</v>
      </c>
      <c r="F24" t="s">
        <v>22</v>
      </c>
      <c r="G24" t="s">
        <v>3</v>
      </c>
      <c r="H24" t="s">
        <v>23</v>
      </c>
      <c r="L24" t="s">
        <v>4</v>
      </c>
      <c r="M24" t="s">
        <v>24</v>
      </c>
      <c r="N24" t="s">
        <v>21</v>
      </c>
      <c r="O24" t="s">
        <v>22</v>
      </c>
      <c r="P24" t="s">
        <v>3</v>
      </c>
      <c r="Q24" t="s">
        <v>23</v>
      </c>
      <c r="U24" t="s">
        <v>4</v>
      </c>
      <c r="V24" t="s">
        <v>24</v>
      </c>
      <c r="W24" t="s">
        <v>21</v>
      </c>
      <c r="X24" t="s">
        <v>22</v>
      </c>
      <c r="Y24" t="s">
        <v>3</v>
      </c>
      <c r="Z24" t="s">
        <v>23</v>
      </c>
    </row>
    <row r="25" spans="3:26" x14ac:dyDescent="0.25">
      <c r="C25" t="s">
        <v>20</v>
      </c>
      <c r="D25">
        <v>12</v>
      </c>
      <c r="E25">
        <v>10</v>
      </c>
      <c r="F25">
        <f>E25*10</f>
        <v>100</v>
      </c>
      <c r="G25">
        <v>22.6636910521263</v>
      </c>
      <c r="H25">
        <v>4.2159069999999996</v>
      </c>
      <c r="L25" t="s">
        <v>20</v>
      </c>
      <c r="M25">
        <v>897</v>
      </c>
      <c r="N25">
        <v>10</v>
      </c>
      <c r="O25">
        <f>N25*10</f>
        <v>100</v>
      </c>
      <c r="P25">
        <v>27.096439688693302</v>
      </c>
      <c r="Q25">
        <v>4.5669490000000001</v>
      </c>
      <c r="U25" t="s">
        <v>20</v>
      </c>
      <c r="V25">
        <v>222</v>
      </c>
      <c r="W25">
        <v>10</v>
      </c>
      <c r="X25">
        <f>W25*10</f>
        <v>100</v>
      </c>
      <c r="Y25">
        <v>23.349618817979199</v>
      </c>
      <c r="Z25">
        <v>4.5942499999999997</v>
      </c>
    </row>
    <row r="26" spans="3:26" x14ac:dyDescent="0.25">
      <c r="C26" t="s">
        <v>20</v>
      </c>
      <c r="D26">
        <v>12</v>
      </c>
      <c r="E26">
        <v>20</v>
      </c>
      <c r="F26">
        <f>E26*10</f>
        <v>200</v>
      </c>
      <c r="G26">
        <v>12.168630425688701</v>
      </c>
      <c r="H26">
        <v>5.576975</v>
      </c>
      <c r="L26" t="s">
        <v>20</v>
      </c>
      <c r="M26">
        <v>897</v>
      </c>
      <c r="N26">
        <v>20</v>
      </c>
      <c r="O26">
        <f>N26*10</f>
        <v>200</v>
      </c>
      <c r="P26">
        <v>15.307652480826601</v>
      </c>
      <c r="Q26">
        <v>5.6652430000000003</v>
      </c>
      <c r="U26" t="s">
        <v>20</v>
      </c>
      <c r="V26">
        <v>222</v>
      </c>
      <c r="W26">
        <v>20</v>
      </c>
      <c r="X26">
        <f>W26*10</f>
        <v>200</v>
      </c>
      <c r="Y26">
        <v>11.4938022749695</v>
      </c>
      <c r="Z26">
        <v>5.8647</v>
      </c>
    </row>
    <row r="27" spans="3:26" x14ac:dyDescent="0.25">
      <c r="C27" t="s">
        <v>20</v>
      </c>
      <c r="D27">
        <v>12</v>
      </c>
      <c r="E27">
        <v>30</v>
      </c>
      <c r="F27">
        <f>E27*10</f>
        <v>300</v>
      </c>
      <c r="G27">
        <v>11.8590753482246</v>
      </c>
      <c r="H27">
        <v>6.9669970000000001</v>
      </c>
      <c r="L27" t="s">
        <v>20</v>
      </c>
      <c r="M27">
        <v>897</v>
      </c>
      <c r="N27">
        <v>30</v>
      </c>
      <c r="O27">
        <f>N27*10</f>
        <v>300</v>
      </c>
      <c r="P27">
        <v>10.881758671678</v>
      </c>
      <c r="Q27">
        <v>7.5960400000000003</v>
      </c>
      <c r="U27" t="s">
        <v>20</v>
      </c>
      <c r="V27">
        <v>222</v>
      </c>
      <c r="W27">
        <v>30</v>
      </c>
      <c r="X27">
        <f>W27*10</f>
        <v>300</v>
      </c>
      <c r="Y27">
        <v>14.3584305208249</v>
      </c>
      <c r="Z27">
        <v>7.2149549999999998</v>
      </c>
    </row>
    <row r="28" spans="3:26" x14ac:dyDescent="0.25">
      <c r="C28" s="1" t="s">
        <v>20</v>
      </c>
      <c r="D28" s="1">
        <v>12</v>
      </c>
      <c r="E28" s="1">
        <v>40</v>
      </c>
      <c r="F28" s="1">
        <f>E28*10</f>
        <v>400</v>
      </c>
      <c r="G28" s="1">
        <v>6.7045704149508003</v>
      </c>
      <c r="H28" s="1">
        <v>9.2710620000000006</v>
      </c>
      <c r="L28" s="1" t="s">
        <v>20</v>
      </c>
      <c r="M28" s="1">
        <v>897</v>
      </c>
      <c r="N28" s="1">
        <v>40</v>
      </c>
      <c r="O28" s="1">
        <f>N28*10</f>
        <v>400</v>
      </c>
      <c r="P28" s="1">
        <v>6.8181044849883303</v>
      </c>
      <c r="Q28" s="1">
        <v>9.1190800000000003</v>
      </c>
      <c r="U28" s="1" t="s">
        <v>20</v>
      </c>
      <c r="V28" s="1">
        <v>222</v>
      </c>
      <c r="W28" s="1">
        <v>40</v>
      </c>
      <c r="X28" s="1">
        <f>W28*10</f>
        <v>400</v>
      </c>
      <c r="Y28" s="1">
        <v>7.5177077103716199</v>
      </c>
      <c r="Z28" s="1">
        <v>9.3749260000000003</v>
      </c>
    </row>
    <row r="32" spans="3:26" x14ac:dyDescent="0.25">
      <c r="C32" t="s">
        <v>4</v>
      </c>
      <c r="D32" t="s">
        <v>24</v>
      </c>
      <c r="E32" t="s">
        <v>21</v>
      </c>
      <c r="F32" t="s">
        <v>22</v>
      </c>
      <c r="G32" t="s">
        <v>3</v>
      </c>
      <c r="H32" t="s">
        <v>23</v>
      </c>
      <c r="L32" t="s">
        <v>4</v>
      </c>
      <c r="M32" t="s">
        <v>24</v>
      </c>
      <c r="N32" t="s">
        <v>21</v>
      </c>
      <c r="O32" t="s">
        <v>22</v>
      </c>
      <c r="P32" t="s">
        <v>3</v>
      </c>
      <c r="Q32" t="s">
        <v>23</v>
      </c>
      <c r="U32" t="s">
        <v>4</v>
      </c>
      <c r="V32" t="s">
        <v>24</v>
      </c>
      <c r="W32" t="s">
        <v>21</v>
      </c>
      <c r="X32" t="s">
        <v>22</v>
      </c>
      <c r="Y32" t="s">
        <v>3</v>
      </c>
      <c r="Z32" t="s">
        <v>23</v>
      </c>
    </row>
    <row r="33" spans="3:26" x14ac:dyDescent="0.25">
      <c r="C33" t="s">
        <v>17</v>
      </c>
      <c r="D33">
        <v>12</v>
      </c>
      <c r="E33">
        <v>10</v>
      </c>
      <c r="F33">
        <f>E33*10</f>
        <v>100</v>
      </c>
      <c r="G33">
        <v>17.437428729790199</v>
      </c>
      <c r="H33">
        <v>3.758569</v>
      </c>
      <c r="L33" t="s">
        <v>17</v>
      </c>
      <c r="M33">
        <v>897</v>
      </c>
      <c r="N33">
        <v>10</v>
      </c>
      <c r="O33">
        <f>N33*10</f>
        <v>100</v>
      </c>
      <c r="P33">
        <v>22.444398110988899</v>
      </c>
      <c r="Q33">
        <v>3.7390430000000001</v>
      </c>
      <c r="U33" t="s">
        <v>17</v>
      </c>
      <c r="V33">
        <v>222</v>
      </c>
      <c r="W33">
        <v>10</v>
      </c>
      <c r="X33">
        <f>W33*10</f>
        <v>100</v>
      </c>
      <c r="Y33">
        <v>27.804868078970799</v>
      </c>
      <c r="Z33">
        <v>3.7979180000000001</v>
      </c>
    </row>
    <row r="34" spans="3:26" x14ac:dyDescent="0.25">
      <c r="C34" s="1" t="s">
        <v>17</v>
      </c>
      <c r="D34" s="1">
        <v>12</v>
      </c>
      <c r="E34" s="1">
        <v>20</v>
      </c>
      <c r="F34" s="1">
        <f>E34*10</f>
        <v>200</v>
      </c>
      <c r="G34" s="1">
        <v>1.44747094780893</v>
      </c>
      <c r="H34" s="1">
        <v>4.5261129999999996</v>
      </c>
      <c r="L34" s="1" t="s">
        <v>17</v>
      </c>
      <c r="M34" s="1">
        <v>897</v>
      </c>
      <c r="N34" s="1">
        <v>20</v>
      </c>
      <c r="O34" s="1">
        <f>N34*10</f>
        <v>200</v>
      </c>
      <c r="P34" s="1">
        <v>2.1110882277136001</v>
      </c>
      <c r="Q34" s="1">
        <v>4.509309</v>
      </c>
      <c r="U34" s="1" t="s">
        <v>17</v>
      </c>
      <c r="V34" s="1">
        <v>222</v>
      </c>
      <c r="W34" s="1">
        <v>20</v>
      </c>
      <c r="X34" s="1">
        <f>W34*10</f>
        <v>200</v>
      </c>
      <c r="Y34" s="1">
        <v>1.1537846969408501</v>
      </c>
      <c r="Z34" s="1">
        <v>4.4045730000000001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7D49-CCEC-4FA1-94E3-B198721AA3CE}">
  <dimension ref="A4:AL29"/>
  <sheetViews>
    <sheetView workbookViewId="0">
      <selection activeCell="N28" sqref="N28"/>
    </sheetView>
  </sheetViews>
  <sheetFormatPr defaultRowHeight="15" x14ac:dyDescent="0.25"/>
  <cols>
    <col min="5" max="5" width="14.7109375" bestFit="1" customWidth="1"/>
    <col min="7" max="7" width="14.7109375" bestFit="1" customWidth="1"/>
    <col min="9" max="9" width="14.7109375" bestFit="1" customWidth="1"/>
  </cols>
  <sheetData>
    <row r="4" spans="1:38" x14ac:dyDescent="0.25">
      <c r="C4" t="s">
        <v>26</v>
      </c>
      <c r="P4" t="s">
        <v>37</v>
      </c>
      <c r="AC4" t="s">
        <v>38</v>
      </c>
    </row>
    <row r="6" spans="1:38" x14ac:dyDescent="0.25">
      <c r="C6" t="s">
        <v>4</v>
      </c>
      <c r="D6" t="s">
        <v>21</v>
      </c>
      <c r="E6" t="s">
        <v>27</v>
      </c>
      <c r="F6" t="s">
        <v>32</v>
      </c>
      <c r="G6" t="s">
        <v>28</v>
      </c>
      <c r="H6" t="s">
        <v>33</v>
      </c>
      <c r="I6" t="s">
        <v>29</v>
      </c>
      <c r="J6" t="s">
        <v>34</v>
      </c>
      <c r="K6" t="s">
        <v>35</v>
      </c>
      <c r="L6" t="s">
        <v>36</v>
      </c>
      <c r="P6" t="s">
        <v>4</v>
      </c>
      <c r="Q6" t="s">
        <v>21</v>
      </c>
      <c r="R6" t="s">
        <v>27</v>
      </c>
      <c r="S6" t="s">
        <v>32</v>
      </c>
      <c r="T6" t="s">
        <v>28</v>
      </c>
      <c r="U6" t="s">
        <v>33</v>
      </c>
      <c r="V6" t="s">
        <v>29</v>
      </c>
      <c r="W6" t="s">
        <v>34</v>
      </c>
      <c r="X6" t="s">
        <v>35</v>
      </c>
      <c r="Y6" t="s">
        <v>36</v>
      </c>
      <c r="AC6" t="s">
        <v>4</v>
      </c>
      <c r="AD6" t="s">
        <v>21</v>
      </c>
      <c r="AE6" t="s">
        <v>27</v>
      </c>
      <c r="AF6" t="s">
        <v>32</v>
      </c>
      <c r="AG6" t="s">
        <v>28</v>
      </c>
      <c r="AH6" t="s">
        <v>33</v>
      </c>
      <c r="AI6" t="s">
        <v>29</v>
      </c>
      <c r="AJ6" t="s">
        <v>34</v>
      </c>
      <c r="AK6" t="s">
        <v>35</v>
      </c>
      <c r="AL6" t="s">
        <v>36</v>
      </c>
    </row>
    <row r="7" spans="1:38" x14ac:dyDescent="0.25">
      <c r="C7" t="s">
        <v>30</v>
      </c>
      <c r="D7">
        <v>20</v>
      </c>
      <c r="E7">
        <v>25.9</v>
      </c>
      <c r="F7">
        <v>4.3899999999999997</v>
      </c>
      <c r="G7">
        <v>23.9</v>
      </c>
      <c r="H7">
        <v>3.5</v>
      </c>
      <c r="I7">
        <v>24.6</v>
      </c>
      <c r="J7">
        <v>3.91</v>
      </c>
      <c r="K7">
        <f t="shared" ref="K7:L11" si="0">AVERAGE(E7,G7,I7)</f>
        <v>24.8</v>
      </c>
      <c r="L7">
        <f t="shared" si="0"/>
        <v>3.9333333333333336</v>
      </c>
      <c r="P7" t="s">
        <v>30</v>
      </c>
      <c r="Q7">
        <v>20</v>
      </c>
      <c r="R7">
        <v>36.1</v>
      </c>
      <c r="S7">
        <v>3.12</v>
      </c>
      <c r="T7">
        <v>29.4</v>
      </c>
      <c r="U7">
        <v>3.21</v>
      </c>
      <c r="V7">
        <v>31.7</v>
      </c>
      <c r="W7">
        <v>3.42</v>
      </c>
      <c r="X7">
        <f t="shared" ref="X7:Y11" si="1">AVERAGE(R7,T7,V7)</f>
        <v>32.4</v>
      </c>
      <c r="Y7">
        <f t="shared" si="1"/>
        <v>3.25</v>
      </c>
      <c r="AC7" t="s">
        <v>30</v>
      </c>
      <c r="AD7">
        <v>20</v>
      </c>
      <c r="AE7">
        <v>27.4</v>
      </c>
      <c r="AF7">
        <v>3.54</v>
      </c>
      <c r="AG7">
        <v>30.4</v>
      </c>
      <c r="AH7">
        <v>3.74</v>
      </c>
      <c r="AI7">
        <v>31.9</v>
      </c>
      <c r="AJ7">
        <v>3.13</v>
      </c>
      <c r="AK7">
        <f t="shared" ref="AK7:AL11" si="2">AVERAGE(AE7,AG7,AI7)</f>
        <v>29.899999999999995</v>
      </c>
      <c r="AL7">
        <f t="shared" si="2"/>
        <v>3.47</v>
      </c>
    </row>
    <row r="8" spans="1:38" x14ac:dyDescent="0.25">
      <c r="C8" t="s">
        <v>31</v>
      </c>
      <c r="D8">
        <v>30</v>
      </c>
      <c r="E8">
        <v>33.799999999999997</v>
      </c>
      <c r="F8">
        <v>5.94</v>
      </c>
      <c r="G8">
        <v>34.9</v>
      </c>
      <c r="H8">
        <v>4.5</v>
      </c>
      <c r="I8">
        <v>31.9</v>
      </c>
      <c r="J8">
        <v>4.3899999999999997</v>
      </c>
      <c r="K8">
        <f t="shared" si="0"/>
        <v>33.533333333333331</v>
      </c>
      <c r="L8">
        <f t="shared" si="0"/>
        <v>4.9433333333333342</v>
      </c>
      <c r="P8" t="s">
        <v>30</v>
      </c>
      <c r="Q8">
        <v>30</v>
      </c>
      <c r="R8">
        <v>32.299999999999997</v>
      </c>
      <c r="S8">
        <v>4.41</v>
      </c>
      <c r="T8">
        <v>34.5</v>
      </c>
      <c r="U8">
        <v>4.92</v>
      </c>
      <c r="V8">
        <v>34</v>
      </c>
      <c r="W8">
        <v>3.9</v>
      </c>
      <c r="X8">
        <f t="shared" si="1"/>
        <v>33.6</v>
      </c>
      <c r="Y8">
        <f t="shared" si="1"/>
        <v>4.41</v>
      </c>
      <c r="AC8" t="s">
        <v>30</v>
      </c>
      <c r="AD8">
        <v>30</v>
      </c>
      <c r="AE8">
        <v>32.200000000000003</v>
      </c>
      <c r="AF8">
        <v>3.99</v>
      </c>
      <c r="AG8">
        <v>32.4</v>
      </c>
      <c r="AH8">
        <v>3.62</v>
      </c>
      <c r="AI8">
        <v>32.4</v>
      </c>
      <c r="AJ8">
        <v>3.85</v>
      </c>
      <c r="AK8">
        <f t="shared" si="2"/>
        <v>32.333333333333336</v>
      </c>
      <c r="AL8">
        <f t="shared" si="2"/>
        <v>3.8200000000000003</v>
      </c>
    </row>
    <row r="9" spans="1:38" x14ac:dyDescent="0.25">
      <c r="C9" t="s">
        <v>30</v>
      </c>
      <c r="D9">
        <v>40</v>
      </c>
      <c r="E9">
        <v>25.1</v>
      </c>
      <c r="F9">
        <v>5.91</v>
      </c>
      <c r="G9">
        <v>27.4</v>
      </c>
      <c r="H9">
        <v>5.86</v>
      </c>
      <c r="I9">
        <v>24.9</v>
      </c>
      <c r="J9">
        <v>5.95</v>
      </c>
      <c r="K9">
        <f t="shared" si="0"/>
        <v>25.8</v>
      </c>
      <c r="L9">
        <f t="shared" si="0"/>
        <v>5.9066666666666663</v>
      </c>
      <c r="P9" t="s">
        <v>30</v>
      </c>
      <c r="Q9">
        <v>40</v>
      </c>
      <c r="R9">
        <v>31.5</v>
      </c>
      <c r="S9">
        <v>5.07</v>
      </c>
      <c r="T9">
        <v>33.5</v>
      </c>
      <c r="U9">
        <v>5.0199999999999996</v>
      </c>
      <c r="V9">
        <v>31.1</v>
      </c>
      <c r="W9">
        <v>4.84</v>
      </c>
      <c r="X9">
        <f t="shared" si="1"/>
        <v>32.033333333333331</v>
      </c>
      <c r="Y9">
        <f t="shared" si="1"/>
        <v>4.9766666666666666</v>
      </c>
      <c r="AC9" t="s">
        <v>30</v>
      </c>
      <c r="AD9">
        <v>40</v>
      </c>
      <c r="AE9">
        <v>29.5</v>
      </c>
      <c r="AF9">
        <v>4.96</v>
      </c>
      <c r="AG9">
        <v>30.7</v>
      </c>
      <c r="AH9">
        <v>5.23</v>
      </c>
      <c r="AI9">
        <v>30.9</v>
      </c>
      <c r="AJ9">
        <v>5.44</v>
      </c>
      <c r="AK9">
        <f t="shared" si="2"/>
        <v>30.366666666666664</v>
      </c>
      <c r="AL9">
        <f t="shared" si="2"/>
        <v>5.2100000000000009</v>
      </c>
    </row>
    <row r="10" spans="1:38" x14ac:dyDescent="0.25">
      <c r="A10" t="s">
        <v>39</v>
      </c>
      <c r="C10" t="s">
        <v>30</v>
      </c>
      <c r="D10">
        <v>50</v>
      </c>
      <c r="E10">
        <v>13</v>
      </c>
      <c r="F10">
        <v>8.5399999999999991</v>
      </c>
      <c r="G10">
        <v>15.2</v>
      </c>
      <c r="H10">
        <v>7.92</v>
      </c>
      <c r="I10">
        <v>15.8</v>
      </c>
      <c r="J10">
        <v>7.87</v>
      </c>
      <c r="K10">
        <f t="shared" si="0"/>
        <v>14.666666666666666</v>
      </c>
      <c r="L10">
        <f t="shared" si="0"/>
        <v>8.1100000000000012</v>
      </c>
      <c r="P10" t="s">
        <v>30</v>
      </c>
      <c r="Q10">
        <v>50</v>
      </c>
      <c r="R10">
        <v>10.9</v>
      </c>
      <c r="S10">
        <v>6.78</v>
      </c>
      <c r="T10">
        <v>11.5</v>
      </c>
      <c r="U10">
        <v>7.08</v>
      </c>
      <c r="V10">
        <v>11.3</v>
      </c>
      <c r="W10">
        <v>6.5</v>
      </c>
      <c r="X10">
        <f t="shared" si="1"/>
        <v>11.233333333333334</v>
      </c>
      <c r="Y10">
        <f t="shared" si="1"/>
        <v>6.7866666666666662</v>
      </c>
      <c r="AC10" t="s">
        <v>30</v>
      </c>
      <c r="AD10">
        <v>50</v>
      </c>
      <c r="AE10">
        <v>12.8</v>
      </c>
      <c r="AF10">
        <v>7.25</v>
      </c>
      <c r="AG10">
        <v>11.2</v>
      </c>
      <c r="AH10">
        <v>6.39</v>
      </c>
      <c r="AI10">
        <v>12.3</v>
      </c>
      <c r="AJ10">
        <v>6.14</v>
      </c>
      <c r="AK10">
        <f t="shared" si="2"/>
        <v>12.1</v>
      </c>
      <c r="AL10">
        <f t="shared" si="2"/>
        <v>6.5933333333333337</v>
      </c>
    </row>
    <row r="11" spans="1:38" x14ac:dyDescent="0.25">
      <c r="A11">
        <f>AVERAGE(L11,Y11,AL11)</f>
        <v>9.3277777777777775</v>
      </c>
      <c r="C11" t="s">
        <v>30</v>
      </c>
      <c r="D11">
        <v>60</v>
      </c>
      <c r="E11">
        <v>6.33</v>
      </c>
      <c r="F11">
        <v>11.3</v>
      </c>
      <c r="G11">
        <v>5.96</v>
      </c>
      <c r="H11">
        <v>11.2</v>
      </c>
      <c r="I11">
        <v>5.74</v>
      </c>
      <c r="J11">
        <v>8.61</v>
      </c>
      <c r="K11">
        <f t="shared" si="0"/>
        <v>6.0100000000000007</v>
      </c>
      <c r="L11">
        <f t="shared" si="0"/>
        <v>10.37</v>
      </c>
      <c r="P11" t="s">
        <v>30</v>
      </c>
      <c r="Q11">
        <v>60</v>
      </c>
      <c r="R11">
        <v>7.37</v>
      </c>
      <c r="S11">
        <v>9.73</v>
      </c>
      <c r="T11">
        <v>6.57</v>
      </c>
      <c r="U11">
        <v>8.66</v>
      </c>
      <c r="V11">
        <v>6.86</v>
      </c>
      <c r="W11">
        <v>8.41</v>
      </c>
      <c r="X11">
        <f t="shared" si="1"/>
        <v>6.9333333333333336</v>
      </c>
      <c r="Y11">
        <f t="shared" si="1"/>
        <v>8.9333333333333336</v>
      </c>
      <c r="AC11" t="s">
        <v>30</v>
      </c>
      <c r="AD11">
        <v>60</v>
      </c>
      <c r="AE11">
        <v>5.58</v>
      </c>
      <c r="AF11">
        <v>9.01</v>
      </c>
      <c r="AG11">
        <v>6.01</v>
      </c>
      <c r="AH11">
        <v>8.69</v>
      </c>
      <c r="AI11">
        <v>6.19</v>
      </c>
      <c r="AJ11">
        <v>8.34</v>
      </c>
      <c r="AK11">
        <f t="shared" si="2"/>
        <v>5.9266666666666667</v>
      </c>
      <c r="AL11">
        <f t="shared" si="2"/>
        <v>8.68</v>
      </c>
    </row>
    <row r="14" spans="1:38" x14ac:dyDescent="0.25">
      <c r="A14" t="s">
        <v>39</v>
      </c>
      <c r="C14" t="s">
        <v>40</v>
      </c>
      <c r="D14">
        <v>20</v>
      </c>
      <c r="E14">
        <v>9.31</v>
      </c>
      <c r="F14">
        <v>6.86</v>
      </c>
      <c r="G14">
        <v>10.7</v>
      </c>
      <c r="H14">
        <v>5.36</v>
      </c>
      <c r="I14">
        <v>7.75</v>
      </c>
      <c r="J14">
        <v>5.37</v>
      </c>
      <c r="K14">
        <f t="shared" ref="K14:L16" si="3">AVERAGE(E14,G14,I14)</f>
        <v>9.2533333333333321</v>
      </c>
      <c r="L14">
        <f t="shared" si="3"/>
        <v>5.8633333333333333</v>
      </c>
      <c r="P14" t="s">
        <v>40</v>
      </c>
      <c r="Q14">
        <v>20</v>
      </c>
      <c r="R14">
        <v>6.4</v>
      </c>
      <c r="S14">
        <v>6.37</v>
      </c>
      <c r="T14">
        <v>6.76</v>
      </c>
      <c r="U14">
        <v>7.36</v>
      </c>
      <c r="V14">
        <v>8.74</v>
      </c>
      <c r="W14">
        <v>6.83</v>
      </c>
      <c r="X14">
        <f t="shared" ref="X14:Y16" si="4">AVERAGE(R14,T14,V14)</f>
        <v>7.3</v>
      </c>
      <c r="Y14">
        <f t="shared" si="4"/>
        <v>6.8533333333333344</v>
      </c>
      <c r="AC14" t="s">
        <v>40</v>
      </c>
      <c r="AD14">
        <v>20</v>
      </c>
      <c r="AE14">
        <v>11.6</v>
      </c>
      <c r="AF14">
        <v>6.48</v>
      </c>
      <c r="AG14">
        <v>10.7</v>
      </c>
      <c r="AH14">
        <v>6.16</v>
      </c>
      <c r="AI14">
        <v>9.31</v>
      </c>
      <c r="AJ14">
        <v>7.38</v>
      </c>
      <c r="AK14">
        <f t="shared" ref="AK14:AL16" si="5">AVERAGE(AE14,AG14,AI14)</f>
        <v>10.536666666666667</v>
      </c>
      <c r="AL14">
        <f t="shared" si="5"/>
        <v>6.6733333333333329</v>
      </c>
    </row>
    <row r="15" spans="1:38" x14ac:dyDescent="0.25">
      <c r="A15">
        <f>AVERAGE(L14,Y14,AL14)</f>
        <v>6.4633333333333338</v>
      </c>
      <c r="C15" t="s">
        <v>40</v>
      </c>
      <c r="D15">
        <v>30</v>
      </c>
      <c r="E15">
        <v>9.02</v>
      </c>
      <c r="F15">
        <v>5.83</v>
      </c>
      <c r="G15">
        <v>9.6199999999999992</v>
      </c>
      <c r="H15">
        <v>7.8</v>
      </c>
      <c r="I15">
        <v>8.06</v>
      </c>
      <c r="J15">
        <v>8.93</v>
      </c>
      <c r="K15">
        <f t="shared" si="3"/>
        <v>8.9</v>
      </c>
      <c r="L15">
        <f t="shared" si="3"/>
        <v>7.52</v>
      </c>
      <c r="P15" t="s">
        <v>40</v>
      </c>
      <c r="Q15">
        <v>30</v>
      </c>
      <c r="R15">
        <v>9.73</v>
      </c>
      <c r="S15">
        <v>9.15</v>
      </c>
      <c r="T15">
        <v>9.58</v>
      </c>
      <c r="U15">
        <v>8.49</v>
      </c>
      <c r="V15">
        <v>9.1199999999999992</v>
      </c>
      <c r="W15">
        <v>10.9</v>
      </c>
      <c r="X15">
        <f t="shared" si="4"/>
        <v>9.4766666666666666</v>
      </c>
      <c r="Y15">
        <f t="shared" si="4"/>
        <v>9.5133333333333336</v>
      </c>
      <c r="AC15" t="s">
        <v>40</v>
      </c>
      <c r="AD15">
        <v>30</v>
      </c>
      <c r="AE15">
        <v>14.3</v>
      </c>
      <c r="AF15">
        <v>7.94</v>
      </c>
      <c r="AG15">
        <v>13.4</v>
      </c>
      <c r="AH15">
        <v>7.81</v>
      </c>
      <c r="AI15">
        <v>13.5</v>
      </c>
      <c r="AJ15">
        <v>8.8699999999999992</v>
      </c>
      <c r="AK15">
        <f t="shared" si="5"/>
        <v>13.733333333333334</v>
      </c>
      <c r="AL15">
        <f t="shared" si="5"/>
        <v>8.2066666666666652</v>
      </c>
    </row>
    <row r="16" spans="1:38" x14ac:dyDescent="0.25">
      <c r="C16" t="s">
        <v>40</v>
      </c>
      <c r="D16">
        <v>40</v>
      </c>
      <c r="E16">
        <v>6.37</v>
      </c>
      <c r="F16">
        <v>8.58</v>
      </c>
      <c r="G16">
        <v>6.93</v>
      </c>
      <c r="H16">
        <v>8.2799999999999994</v>
      </c>
      <c r="I16">
        <v>6.01</v>
      </c>
      <c r="J16">
        <v>8.39</v>
      </c>
      <c r="K16">
        <f t="shared" si="3"/>
        <v>6.4366666666666674</v>
      </c>
      <c r="L16">
        <f t="shared" si="3"/>
        <v>8.4166666666666661</v>
      </c>
      <c r="P16" t="s">
        <v>40</v>
      </c>
      <c r="Q16">
        <v>40</v>
      </c>
      <c r="R16">
        <v>5.8</v>
      </c>
      <c r="S16">
        <v>10.4</v>
      </c>
      <c r="T16">
        <v>5.17</v>
      </c>
      <c r="U16">
        <v>8.58</v>
      </c>
      <c r="V16">
        <v>6.1</v>
      </c>
      <c r="W16">
        <v>8.85</v>
      </c>
      <c r="X16">
        <f t="shared" si="4"/>
        <v>5.69</v>
      </c>
      <c r="Y16">
        <f t="shared" si="4"/>
        <v>9.2766666666666655</v>
      </c>
      <c r="AC16" t="s">
        <v>40</v>
      </c>
      <c r="AD16">
        <v>40</v>
      </c>
      <c r="AE16">
        <v>7.16</v>
      </c>
      <c r="AF16">
        <v>10.199999999999999</v>
      </c>
      <c r="AG16">
        <v>8.91</v>
      </c>
      <c r="AH16">
        <v>10.199999999999999</v>
      </c>
      <c r="AI16">
        <v>6.66</v>
      </c>
      <c r="AJ16">
        <v>10.9</v>
      </c>
      <c r="AK16">
        <f t="shared" si="5"/>
        <v>7.5766666666666671</v>
      </c>
      <c r="AL16">
        <f t="shared" si="5"/>
        <v>10.433333333333332</v>
      </c>
    </row>
    <row r="18" spans="1:38" x14ac:dyDescent="0.25">
      <c r="A18" t="s">
        <v>39</v>
      </c>
    </row>
    <row r="19" spans="1:38" x14ac:dyDescent="0.25">
      <c r="A19">
        <f>AVERAGE(L19,Y19,AL19)</f>
        <v>4.3011111111111111</v>
      </c>
      <c r="C19" t="s">
        <v>41</v>
      </c>
      <c r="D19">
        <v>20</v>
      </c>
      <c r="E19">
        <v>1.27</v>
      </c>
      <c r="F19">
        <v>4.87</v>
      </c>
      <c r="G19">
        <v>1.0900000000000001</v>
      </c>
      <c r="H19">
        <v>4.07</v>
      </c>
      <c r="I19">
        <v>1.93</v>
      </c>
      <c r="J19">
        <v>4.2699999999999996</v>
      </c>
      <c r="K19">
        <f>AVERAGE(E19,G19,I19)</f>
        <v>1.43</v>
      </c>
      <c r="L19">
        <f>AVERAGE(F19,H19,J19)</f>
        <v>4.4033333333333333</v>
      </c>
      <c r="P19" t="s">
        <v>41</v>
      </c>
      <c r="Q19">
        <v>20</v>
      </c>
      <c r="R19">
        <v>1.1399999999999999</v>
      </c>
      <c r="S19">
        <v>4.33</v>
      </c>
      <c r="T19">
        <v>2.65</v>
      </c>
      <c r="U19">
        <v>4.18</v>
      </c>
      <c r="V19">
        <v>0.99199999999999999</v>
      </c>
      <c r="W19">
        <v>4.0999999999999996</v>
      </c>
      <c r="X19">
        <f>AVERAGE(R19,T19,V19)</f>
        <v>1.5940000000000001</v>
      </c>
      <c r="Y19">
        <f>AVERAGE(S19,U19,W19)</f>
        <v>4.2033333333333331</v>
      </c>
      <c r="AC19" t="s">
        <v>41</v>
      </c>
      <c r="AD19">
        <v>20</v>
      </c>
      <c r="AE19">
        <v>1.67</v>
      </c>
      <c r="AF19">
        <v>4.45</v>
      </c>
      <c r="AG19">
        <v>2.4900000000000002</v>
      </c>
      <c r="AH19">
        <v>4.29</v>
      </c>
      <c r="AI19">
        <v>2.15</v>
      </c>
      <c r="AJ19">
        <v>4.1500000000000004</v>
      </c>
      <c r="AK19">
        <f>AVERAGE(AE19,AG19,AI19)</f>
        <v>2.1033333333333335</v>
      </c>
      <c r="AL19">
        <f>AVERAGE(AF19,AH19,AJ19)</f>
        <v>4.2966666666666669</v>
      </c>
    </row>
    <row r="23" spans="1:38" x14ac:dyDescent="0.25">
      <c r="E23" t="s">
        <v>30</v>
      </c>
      <c r="G23" t="s">
        <v>40</v>
      </c>
      <c r="I23" t="s">
        <v>41</v>
      </c>
      <c r="AK23" t="s">
        <v>42</v>
      </c>
    </row>
    <row r="24" spans="1:38" x14ac:dyDescent="0.25">
      <c r="D24" t="s">
        <v>43</v>
      </c>
      <c r="E24">
        <v>9.3277780000000003</v>
      </c>
      <c r="G24" s="4">
        <v>6.4633330000000004</v>
      </c>
      <c r="I24" s="4">
        <v>4.3011109999999997</v>
      </c>
    </row>
    <row r="25" spans="1:38" x14ac:dyDescent="0.25">
      <c r="D25" t="s">
        <v>44</v>
      </c>
      <c r="E25" s="4">
        <f>E24/3600</f>
        <v>2.5910494444444446E-3</v>
      </c>
      <c r="G25" s="4">
        <f>G24/3600</f>
        <v>1.7953702777777779E-3</v>
      </c>
      <c r="I25" s="4">
        <f>I24/3600</f>
        <v>1.1947530555555554E-3</v>
      </c>
    </row>
    <row r="26" spans="1:38" x14ac:dyDescent="0.25">
      <c r="D26" t="s">
        <v>46</v>
      </c>
      <c r="E26" s="4">
        <f>20/1000*E25</f>
        <v>5.1820988888888895E-5</v>
      </c>
      <c r="G26" s="4">
        <f>20/1000*G25</f>
        <v>3.5907405555555556E-5</v>
      </c>
      <c r="I26" s="4">
        <f>20/1000*I25</f>
        <v>2.389506111111111E-5</v>
      </c>
    </row>
    <row r="27" spans="1:38" x14ac:dyDescent="0.25">
      <c r="D27" t="s">
        <v>47</v>
      </c>
      <c r="E27" s="4">
        <f>390/1000*E25</f>
        <v>1.0105092833333335E-3</v>
      </c>
      <c r="G27" s="4">
        <f>390/1000*G25</f>
        <v>7.0019440833333341E-4</v>
      </c>
      <c r="I27" s="4">
        <f>390/1000*I25</f>
        <v>4.6595369166666661E-4</v>
      </c>
    </row>
    <row r="28" spans="1:38" x14ac:dyDescent="0.25">
      <c r="D28" t="s">
        <v>48</v>
      </c>
      <c r="E28" s="4">
        <f>E27+E26</f>
        <v>1.0623302722222224E-3</v>
      </c>
      <c r="G28" s="4">
        <f>G27+G26</f>
        <v>7.3610181388888897E-4</v>
      </c>
      <c r="I28" s="4">
        <f>I27+I26</f>
        <v>4.898487527777777E-4</v>
      </c>
    </row>
    <row r="29" spans="1:38" x14ac:dyDescent="0.25">
      <c r="D29" t="s">
        <v>45</v>
      </c>
      <c r="E29" s="4">
        <f>237.589*(E26+E27)</f>
        <v>0.25239798704700561</v>
      </c>
      <c r="G29" s="4">
        <f>237.589*(G26+G27)</f>
        <v>0.17488969386004724</v>
      </c>
      <c r="I29" s="4">
        <f>237.589*(I26+I27)</f>
        <v>0.11638267532371943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EB4-B768-4661-A934-98E8DDFB07A4}">
  <dimension ref="C5:AO61"/>
  <sheetViews>
    <sheetView topLeftCell="A34" workbookViewId="0">
      <selection activeCell="G65" sqref="G65"/>
    </sheetView>
  </sheetViews>
  <sheetFormatPr defaultRowHeight="15" x14ac:dyDescent="0.25"/>
  <cols>
    <col min="7" max="7" width="14.7109375" bestFit="1" customWidth="1"/>
    <col min="9" max="9" width="15.7109375" bestFit="1" customWidth="1"/>
    <col min="11" max="11" width="14.7109375" bestFit="1" customWidth="1"/>
    <col min="13" max="13" width="17.85546875" customWidth="1"/>
    <col min="14" max="14" width="16.140625" customWidth="1"/>
    <col min="15" max="15" width="19.42578125" customWidth="1"/>
  </cols>
  <sheetData>
    <row r="5" spans="4:41" x14ac:dyDescent="0.25">
      <c r="D5" t="s">
        <v>38</v>
      </c>
      <c r="N5" t="s">
        <v>58</v>
      </c>
      <c r="Q5" t="s">
        <v>59</v>
      </c>
      <c r="S5" t="s">
        <v>26</v>
      </c>
      <c r="AF5" t="s">
        <v>37</v>
      </c>
    </row>
    <row r="7" spans="4:41" x14ac:dyDescent="0.25">
      <c r="D7" t="s">
        <v>4</v>
      </c>
      <c r="E7" t="s">
        <v>21</v>
      </c>
      <c r="F7" t="s">
        <v>27</v>
      </c>
      <c r="G7" t="s">
        <v>32</v>
      </c>
      <c r="H7" t="s">
        <v>28</v>
      </c>
      <c r="I7" t="s">
        <v>33</v>
      </c>
      <c r="J7" t="s">
        <v>29</v>
      </c>
      <c r="K7" t="s">
        <v>34</v>
      </c>
      <c r="L7" t="s">
        <v>35</v>
      </c>
      <c r="M7" t="s">
        <v>36</v>
      </c>
      <c r="S7" t="s">
        <v>4</v>
      </c>
      <c r="T7" t="s">
        <v>21</v>
      </c>
      <c r="U7" t="s">
        <v>27</v>
      </c>
      <c r="V7" t="s">
        <v>32</v>
      </c>
      <c r="W7" t="s">
        <v>28</v>
      </c>
      <c r="X7" t="s">
        <v>33</v>
      </c>
      <c r="Y7" t="s">
        <v>29</v>
      </c>
      <c r="Z7" t="s">
        <v>34</v>
      </c>
      <c r="AA7" t="s">
        <v>35</v>
      </c>
      <c r="AB7" t="s">
        <v>36</v>
      </c>
      <c r="AF7" t="s">
        <v>4</v>
      </c>
      <c r="AG7" t="s">
        <v>21</v>
      </c>
      <c r="AH7" t="s">
        <v>27</v>
      </c>
      <c r="AI7" t="s">
        <v>32</v>
      </c>
      <c r="AJ7" t="s">
        <v>28</v>
      </c>
      <c r="AK7" t="s">
        <v>33</v>
      </c>
      <c r="AL7" t="s">
        <v>29</v>
      </c>
      <c r="AM7" t="s">
        <v>34</v>
      </c>
      <c r="AN7" t="s">
        <v>35</v>
      </c>
      <c r="AO7" t="s">
        <v>36</v>
      </c>
    </row>
    <row r="8" spans="4:41" x14ac:dyDescent="0.25">
      <c r="D8" t="s">
        <v>30</v>
      </c>
      <c r="E8">
        <v>20</v>
      </c>
      <c r="L8" t="e">
        <f t="shared" ref="L8:M14" si="0">AVERAGE(F8,H8,J8)</f>
        <v>#DIV/0!</v>
      </c>
      <c r="M8" t="e">
        <f t="shared" si="0"/>
        <v>#DIV/0!</v>
      </c>
      <c r="S8" t="s">
        <v>30</v>
      </c>
      <c r="T8">
        <v>20</v>
      </c>
      <c r="AA8" t="e">
        <f t="shared" ref="AA8:AA14" si="1">AVERAGE(U8,W8,Y8)</f>
        <v>#DIV/0!</v>
      </c>
      <c r="AB8" t="e">
        <f t="shared" ref="AB8:AB14" si="2">AVERAGE(V8,X8,Z8)</f>
        <v>#DIV/0!</v>
      </c>
      <c r="AF8" t="s">
        <v>30</v>
      </c>
      <c r="AG8">
        <v>20</v>
      </c>
      <c r="AN8" t="e">
        <f t="shared" ref="AN8:AN14" si="3">AVERAGE(AH8,AJ8,AL8)</f>
        <v>#DIV/0!</v>
      </c>
      <c r="AO8" t="e">
        <f t="shared" ref="AO8:AO14" si="4">AVERAGE(AI8,AK8,AM8)</f>
        <v>#DIV/0!</v>
      </c>
    </row>
    <row r="9" spans="4:41" x14ac:dyDescent="0.25">
      <c r="D9" t="s">
        <v>31</v>
      </c>
      <c r="E9">
        <v>30</v>
      </c>
      <c r="F9">
        <v>70.599999999999994</v>
      </c>
      <c r="G9">
        <v>4.13</v>
      </c>
      <c r="H9">
        <v>66.099999999999994</v>
      </c>
      <c r="I9">
        <v>3.93</v>
      </c>
      <c r="J9">
        <v>69.400000000000006</v>
      </c>
      <c r="K9">
        <v>4.1500000000000004</v>
      </c>
      <c r="L9">
        <f t="shared" si="0"/>
        <v>68.7</v>
      </c>
      <c r="M9">
        <f t="shared" si="0"/>
        <v>4.07</v>
      </c>
      <c r="S9" t="s">
        <v>31</v>
      </c>
      <c r="T9">
        <v>30</v>
      </c>
      <c r="AA9" t="e">
        <f t="shared" si="1"/>
        <v>#DIV/0!</v>
      </c>
      <c r="AB9" t="e">
        <f t="shared" si="2"/>
        <v>#DIV/0!</v>
      </c>
      <c r="AF9" t="s">
        <v>31</v>
      </c>
      <c r="AG9">
        <v>30</v>
      </c>
      <c r="AN9" t="e">
        <f t="shared" si="3"/>
        <v>#DIV/0!</v>
      </c>
      <c r="AO9" t="e">
        <f t="shared" si="4"/>
        <v>#DIV/0!</v>
      </c>
    </row>
    <row r="10" spans="4:41" x14ac:dyDescent="0.25">
      <c r="D10" t="s">
        <v>30</v>
      </c>
      <c r="E10">
        <v>40</v>
      </c>
      <c r="F10">
        <v>58</v>
      </c>
      <c r="G10">
        <v>5.43</v>
      </c>
      <c r="H10">
        <v>67</v>
      </c>
      <c r="I10">
        <v>5.12</v>
      </c>
      <c r="J10">
        <v>61</v>
      </c>
      <c r="K10">
        <v>5.28</v>
      </c>
      <c r="L10">
        <f t="shared" si="0"/>
        <v>62</v>
      </c>
      <c r="M10">
        <f t="shared" si="0"/>
        <v>5.2766666666666673</v>
      </c>
      <c r="S10" t="s">
        <v>30</v>
      </c>
      <c r="T10">
        <v>40</v>
      </c>
      <c r="AA10" t="e">
        <f t="shared" si="1"/>
        <v>#DIV/0!</v>
      </c>
      <c r="AB10" t="e">
        <f t="shared" si="2"/>
        <v>#DIV/0!</v>
      </c>
      <c r="AF10" t="s">
        <v>30</v>
      </c>
      <c r="AG10">
        <v>40</v>
      </c>
      <c r="AN10" t="e">
        <f t="shared" si="3"/>
        <v>#DIV/0!</v>
      </c>
      <c r="AO10" t="e">
        <f t="shared" si="4"/>
        <v>#DIV/0!</v>
      </c>
    </row>
    <row r="11" spans="4:41" x14ac:dyDescent="0.25">
      <c r="D11" t="s">
        <v>30</v>
      </c>
      <c r="E11">
        <v>50</v>
      </c>
      <c r="F11">
        <v>24.5</v>
      </c>
      <c r="G11">
        <v>7.68</v>
      </c>
      <c r="H11">
        <v>25</v>
      </c>
      <c r="I11">
        <v>7</v>
      </c>
      <c r="J11">
        <v>25.4</v>
      </c>
      <c r="K11">
        <v>6.85</v>
      </c>
      <c r="L11">
        <f t="shared" si="0"/>
        <v>24.966666666666669</v>
      </c>
      <c r="M11">
        <f t="shared" si="0"/>
        <v>7.1766666666666667</v>
      </c>
      <c r="S11" t="s">
        <v>30</v>
      </c>
      <c r="T11">
        <v>50</v>
      </c>
      <c r="AA11" t="e">
        <f t="shared" si="1"/>
        <v>#DIV/0!</v>
      </c>
      <c r="AB11" t="e">
        <f t="shared" si="2"/>
        <v>#DIV/0!</v>
      </c>
      <c r="AF11" t="s">
        <v>30</v>
      </c>
      <c r="AG11">
        <v>50</v>
      </c>
      <c r="AN11" t="e">
        <f t="shared" si="3"/>
        <v>#DIV/0!</v>
      </c>
      <c r="AO11" t="e">
        <f t="shared" si="4"/>
        <v>#DIV/0!</v>
      </c>
    </row>
    <row r="12" spans="4:41" x14ac:dyDescent="0.25">
      <c r="D12" t="s">
        <v>30</v>
      </c>
      <c r="E12">
        <v>60</v>
      </c>
      <c r="F12">
        <v>12.7</v>
      </c>
      <c r="G12">
        <v>9.0299999999999994</v>
      </c>
      <c r="H12">
        <v>12.5</v>
      </c>
      <c r="I12">
        <v>9.41</v>
      </c>
      <c r="J12">
        <v>12.1</v>
      </c>
      <c r="K12">
        <v>8.7200000000000006</v>
      </c>
      <c r="L12">
        <f t="shared" si="0"/>
        <v>12.433333333333332</v>
      </c>
      <c r="M12">
        <f t="shared" si="0"/>
        <v>9.0533333333333328</v>
      </c>
      <c r="S12" t="s">
        <v>30</v>
      </c>
      <c r="T12">
        <v>60</v>
      </c>
      <c r="AA12" t="e">
        <f t="shared" si="1"/>
        <v>#DIV/0!</v>
      </c>
      <c r="AB12" t="e">
        <f t="shared" si="2"/>
        <v>#DIV/0!</v>
      </c>
      <c r="AF12" t="s">
        <v>30</v>
      </c>
      <c r="AG12">
        <v>60</v>
      </c>
      <c r="AN12" t="e">
        <f t="shared" si="3"/>
        <v>#DIV/0!</v>
      </c>
      <c r="AO12" t="e">
        <f t="shared" si="4"/>
        <v>#DIV/0!</v>
      </c>
    </row>
    <row r="13" spans="4:41" x14ac:dyDescent="0.25">
      <c r="D13" t="s">
        <v>30</v>
      </c>
      <c r="E13">
        <v>70</v>
      </c>
      <c r="F13">
        <v>14.4</v>
      </c>
      <c r="G13">
        <v>12.2</v>
      </c>
      <c r="H13">
        <v>15.7</v>
      </c>
      <c r="I13">
        <v>12</v>
      </c>
      <c r="J13">
        <v>15.4</v>
      </c>
      <c r="K13">
        <v>12.1</v>
      </c>
      <c r="L13">
        <f t="shared" si="0"/>
        <v>15.166666666666666</v>
      </c>
      <c r="M13">
        <f t="shared" si="0"/>
        <v>12.1</v>
      </c>
      <c r="S13" t="s">
        <v>30</v>
      </c>
      <c r="T13">
        <v>70</v>
      </c>
      <c r="U13">
        <v>18.8</v>
      </c>
      <c r="V13">
        <v>13.3</v>
      </c>
      <c r="W13">
        <v>18</v>
      </c>
      <c r="X13">
        <v>12.6</v>
      </c>
      <c r="Y13">
        <v>15.6</v>
      </c>
      <c r="Z13">
        <v>13.2</v>
      </c>
      <c r="AA13">
        <f t="shared" si="1"/>
        <v>17.466666666666665</v>
      </c>
      <c r="AB13">
        <f t="shared" si="2"/>
        <v>13.033333333333331</v>
      </c>
      <c r="AF13" t="s">
        <v>30</v>
      </c>
      <c r="AG13">
        <v>70</v>
      </c>
      <c r="AH13">
        <v>23.6</v>
      </c>
      <c r="AI13">
        <v>13.3</v>
      </c>
      <c r="AJ13">
        <v>20.7</v>
      </c>
      <c r="AK13">
        <v>12.6</v>
      </c>
      <c r="AL13">
        <v>18.100000000000001</v>
      </c>
      <c r="AM13">
        <v>12.6</v>
      </c>
      <c r="AN13">
        <f t="shared" si="3"/>
        <v>20.8</v>
      </c>
      <c r="AO13">
        <f t="shared" si="4"/>
        <v>12.833333333333334</v>
      </c>
    </row>
    <row r="14" spans="4:41" x14ac:dyDescent="0.25">
      <c r="D14" s="5" t="s">
        <v>30</v>
      </c>
      <c r="E14" s="5">
        <v>80</v>
      </c>
      <c r="F14" s="5">
        <v>7.9</v>
      </c>
      <c r="G14" s="5">
        <v>15.6</v>
      </c>
      <c r="H14" s="5">
        <v>7.84</v>
      </c>
      <c r="I14" s="5">
        <v>16.2</v>
      </c>
      <c r="J14" s="5">
        <v>7.66</v>
      </c>
      <c r="K14" s="5">
        <v>15.6</v>
      </c>
      <c r="L14" s="5">
        <f t="shared" si="0"/>
        <v>7.8</v>
      </c>
      <c r="M14" s="5">
        <f t="shared" si="0"/>
        <v>15.799999999999999</v>
      </c>
      <c r="S14" s="5" t="s">
        <v>30</v>
      </c>
      <c r="T14" s="5">
        <v>80</v>
      </c>
      <c r="U14" s="5">
        <v>7.85</v>
      </c>
      <c r="V14" s="5">
        <v>17.7</v>
      </c>
      <c r="W14" s="5">
        <v>8.1199999999999992</v>
      </c>
      <c r="X14" s="5">
        <v>20.3</v>
      </c>
      <c r="Y14" s="5">
        <v>7.23</v>
      </c>
      <c r="Z14" s="5">
        <v>17.8</v>
      </c>
      <c r="AA14" s="5">
        <f t="shared" si="1"/>
        <v>7.7333333333333334</v>
      </c>
      <c r="AB14" s="5">
        <f t="shared" si="2"/>
        <v>18.599999999999998</v>
      </c>
      <c r="AF14" s="5" t="s">
        <v>30</v>
      </c>
      <c r="AG14" s="5">
        <v>80</v>
      </c>
      <c r="AH14" s="5">
        <v>8.17</v>
      </c>
      <c r="AI14" s="5">
        <v>16.7</v>
      </c>
      <c r="AJ14" s="5">
        <v>9.1300000000000008</v>
      </c>
      <c r="AK14" s="5">
        <v>17</v>
      </c>
      <c r="AL14" s="5">
        <v>8.75</v>
      </c>
      <c r="AM14" s="5">
        <v>19.600000000000001</v>
      </c>
      <c r="AN14" s="5">
        <f t="shared" si="3"/>
        <v>8.6833333333333336</v>
      </c>
      <c r="AO14" s="5">
        <f t="shared" si="4"/>
        <v>17.766666666666669</v>
      </c>
    </row>
    <row r="17" spans="3:41" x14ac:dyDescent="0.25">
      <c r="D17" t="s">
        <v>40</v>
      </c>
      <c r="E17">
        <v>20</v>
      </c>
      <c r="F17">
        <v>17.2</v>
      </c>
      <c r="G17">
        <v>6.15</v>
      </c>
      <c r="H17">
        <v>20.5</v>
      </c>
      <c r="I17">
        <v>5.96</v>
      </c>
      <c r="J17">
        <v>9.7899999999999991</v>
      </c>
      <c r="K17">
        <v>5.83</v>
      </c>
      <c r="L17">
        <f t="shared" ref="L17:M22" si="5">AVERAGE(F17,H17,J17)</f>
        <v>15.83</v>
      </c>
      <c r="M17">
        <f t="shared" si="5"/>
        <v>5.9799999999999995</v>
      </c>
      <c r="S17" t="s">
        <v>40</v>
      </c>
      <c r="T17">
        <v>20</v>
      </c>
      <c r="AA17" t="e">
        <f t="shared" ref="AA17:AA20" si="6">AVERAGE(U17,W17,Y17)</f>
        <v>#DIV/0!</v>
      </c>
      <c r="AB17" t="e">
        <f t="shared" ref="AB17:AB20" si="7">AVERAGE(V17,X17,Z17)</f>
        <v>#DIV/0!</v>
      </c>
      <c r="AF17" t="s">
        <v>40</v>
      </c>
      <c r="AG17">
        <v>20</v>
      </c>
      <c r="AN17" t="e">
        <f t="shared" ref="AN17:AN20" si="8">AVERAGE(AH17,AJ17,AL17)</f>
        <v>#DIV/0!</v>
      </c>
      <c r="AO17" t="e">
        <f t="shared" ref="AO17:AO20" si="9">AVERAGE(AI17,AK17,AM17)</f>
        <v>#DIV/0!</v>
      </c>
    </row>
    <row r="18" spans="3:41" x14ac:dyDescent="0.25">
      <c r="D18" t="s">
        <v>40</v>
      </c>
      <c r="E18">
        <v>30</v>
      </c>
      <c r="F18">
        <v>25.1</v>
      </c>
      <c r="G18">
        <v>7.49</v>
      </c>
      <c r="H18">
        <v>36.4</v>
      </c>
      <c r="I18">
        <v>7.45</v>
      </c>
      <c r="J18">
        <v>28</v>
      </c>
      <c r="K18">
        <v>8.09</v>
      </c>
      <c r="L18">
        <f t="shared" si="5"/>
        <v>29.833333333333332</v>
      </c>
      <c r="M18">
        <f t="shared" si="5"/>
        <v>7.6766666666666667</v>
      </c>
      <c r="N18">
        <v>8.17</v>
      </c>
      <c r="O18">
        <v>7.21</v>
      </c>
      <c r="P18">
        <v>7.05</v>
      </c>
      <c r="Q18">
        <f>AVERAGE(N18:P18)</f>
        <v>7.4766666666666666</v>
      </c>
      <c r="S18" t="s">
        <v>40</v>
      </c>
      <c r="T18">
        <v>30</v>
      </c>
      <c r="AA18" t="e">
        <f t="shared" si="6"/>
        <v>#DIV/0!</v>
      </c>
      <c r="AB18" t="e">
        <f t="shared" si="7"/>
        <v>#DIV/0!</v>
      </c>
      <c r="AF18" t="s">
        <v>40</v>
      </c>
      <c r="AG18">
        <v>30</v>
      </c>
      <c r="AN18" t="e">
        <f t="shared" si="8"/>
        <v>#DIV/0!</v>
      </c>
      <c r="AO18" t="e">
        <f t="shared" si="9"/>
        <v>#DIV/0!</v>
      </c>
    </row>
    <row r="19" spans="3:41" x14ac:dyDescent="0.25">
      <c r="D19" t="s">
        <v>40</v>
      </c>
      <c r="E19">
        <v>40</v>
      </c>
      <c r="F19">
        <v>11.4</v>
      </c>
      <c r="G19">
        <v>9.2100000000000009</v>
      </c>
      <c r="H19">
        <v>16.8</v>
      </c>
      <c r="I19">
        <v>8.35</v>
      </c>
      <c r="J19">
        <v>16.2</v>
      </c>
      <c r="K19">
        <v>8.57</v>
      </c>
      <c r="L19">
        <f t="shared" si="5"/>
        <v>14.800000000000002</v>
      </c>
      <c r="M19">
        <f t="shared" si="5"/>
        <v>8.7100000000000009</v>
      </c>
      <c r="N19">
        <v>9.4499999999999993</v>
      </c>
      <c r="O19">
        <v>8.9600000000000009</v>
      </c>
      <c r="P19">
        <v>8.56</v>
      </c>
      <c r="Q19">
        <f>AVERAGE(N19:P19)</f>
        <v>8.99</v>
      </c>
      <c r="S19" t="s">
        <v>40</v>
      </c>
      <c r="T19">
        <v>40</v>
      </c>
      <c r="U19">
        <v>14.1</v>
      </c>
      <c r="V19">
        <v>9.1300000000000008</v>
      </c>
      <c r="W19">
        <v>13.6</v>
      </c>
      <c r="X19">
        <v>8.48</v>
      </c>
      <c r="Y19">
        <v>12.8</v>
      </c>
      <c r="Z19">
        <v>8.89</v>
      </c>
      <c r="AA19">
        <f t="shared" si="6"/>
        <v>13.5</v>
      </c>
      <c r="AB19">
        <f t="shared" si="7"/>
        <v>8.8333333333333339</v>
      </c>
      <c r="AF19" t="s">
        <v>40</v>
      </c>
      <c r="AG19">
        <v>40</v>
      </c>
      <c r="AH19">
        <v>16.8</v>
      </c>
      <c r="AI19">
        <v>9.31</v>
      </c>
      <c r="AJ19">
        <v>13</v>
      </c>
      <c r="AK19">
        <v>8.49</v>
      </c>
      <c r="AL19">
        <v>14.4</v>
      </c>
      <c r="AM19">
        <v>8.8800000000000008</v>
      </c>
      <c r="AN19">
        <f t="shared" si="8"/>
        <v>14.733333333333334</v>
      </c>
      <c r="AO19">
        <f t="shared" si="9"/>
        <v>8.8933333333333326</v>
      </c>
    </row>
    <row r="20" spans="3:41" x14ac:dyDescent="0.25">
      <c r="C20" s="6"/>
      <c r="D20" s="5" t="s">
        <v>40</v>
      </c>
      <c r="E20" s="5">
        <v>50</v>
      </c>
      <c r="F20" s="5">
        <v>6.29</v>
      </c>
      <c r="G20" s="5">
        <v>11.7</v>
      </c>
      <c r="H20" s="5">
        <v>1.43</v>
      </c>
      <c r="I20" s="5">
        <v>11.5</v>
      </c>
      <c r="J20" s="5">
        <v>3.18</v>
      </c>
      <c r="K20" s="5">
        <v>11.6</v>
      </c>
      <c r="L20" s="5">
        <f t="shared" si="5"/>
        <v>3.6333333333333333</v>
      </c>
      <c r="M20" s="5">
        <f t="shared" si="5"/>
        <v>11.6</v>
      </c>
      <c r="N20">
        <v>11.7</v>
      </c>
      <c r="O20">
        <v>11.2</v>
      </c>
      <c r="P20">
        <v>11.8</v>
      </c>
      <c r="Q20">
        <f>AVERAGE(N20:P20)</f>
        <v>11.566666666666668</v>
      </c>
      <c r="S20" s="5" t="s">
        <v>40</v>
      </c>
      <c r="T20" s="5">
        <v>50</v>
      </c>
      <c r="U20" s="5">
        <v>7.56</v>
      </c>
      <c r="V20" s="5">
        <v>12.1</v>
      </c>
      <c r="W20" s="5">
        <v>7.92</v>
      </c>
      <c r="X20" s="5">
        <v>12.3</v>
      </c>
      <c r="Y20" s="5">
        <v>2.88</v>
      </c>
      <c r="Z20" s="5">
        <v>13</v>
      </c>
      <c r="AA20" s="5">
        <f t="shared" si="6"/>
        <v>6.12</v>
      </c>
      <c r="AB20" s="5">
        <f t="shared" si="7"/>
        <v>12.466666666666667</v>
      </c>
      <c r="AF20" s="5" t="s">
        <v>40</v>
      </c>
      <c r="AG20" s="5">
        <v>50</v>
      </c>
      <c r="AH20" s="5">
        <v>8.69</v>
      </c>
      <c r="AI20" s="5">
        <v>13.4</v>
      </c>
      <c r="AJ20" s="5">
        <v>0.16200000000000001</v>
      </c>
      <c r="AK20" s="5">
        <v>13.1</v>
      </c>
      <c r="AL20" s="5">
        <v>7.49</v>
      </c>
      <c r="AM20" s="5">
        <v>13.5</v>
      </c>
      <c r="AN20" s="5">
        <f t="shared" si="8"/>
        <v>5.4473333333333329</v>
      </c>
      <c r="AO20" s="5">
        <f t="shared" si="9"/>
        <v>13.333333333333334</v>
      </c>
    </row>
    <row r="21" spans="3:41" x14ac:dyDescent="0.25">
      <c r="D21" t="s">
        <v>40</v>
      </c>
      <c r="E21">
        <v>60</v>
      </c>
      <c r="F21">
        <v>3.3</v>
      </c>
      <c r="G21">
        <v>16.3</v>
      </c>
      <c r="H21">
        <v>2.67</v>
      </c>
      <c r="I21">
        <v>15.3</v>
      </c>
      <c r="J21">
        <v>3.28</v>
      </c>
      <c r="K21">
        <v>15.4</v>
      </c>
      <c r="L21">
        <f t="shared" si="5"/>
        <v>3.0833333333333335</v>
      </c>
      <c r="M21">
        <f t="shared" si="5"/>
        <v>15.666666666666666</v>
      </c>
    </row>
    <row r="22" spans="3:41" x14ac:dyDescent="0.25">
      <c r="D22" t="s">
        <v>40</v>
      </c>
      <c r="E22">
        <v>70</v>
      </c>
      <c r="F22">
        <v>0.20300000000000001</v>
      </c>
      <c r="G22">
        <v>25</v>
      </c>
      <c r="H22">
        <v>0.122</v>
      </c>
      <c r="I22">
        <v>20.6</v>
      </c>
      <c r="J22">
        <v>0.158</v>
      </c>
      <c r="K22">
        <v>22.1</v>
      </c>
      <c r="L22">
        <f t="shared" si="5"/>
        <v>0.161</v>
      </c>
      <c r="M22">
        <f t="shared" si="5"/>
        <v>22.566666666666666</v>
      </c>
    </row>
    <row r="25" spans="3:41" x14ac:dyDescent="0.25">
      <c r="D25" t="s">
        <v>41</v>
      </c>
      <c r="E25">
        <v>10</v>
      </c>
      <c r="F25">
        <v>83.2</v>
      </c>
      <c r="G25">
        <v>3.65</v>
      </c>
      <c r="H25">
        <v>60.1</v>
      </c>
      <c r="I25">
        <v>3.51</v>
      </c>
      <c r="J25">
        <v>81.2</v>
      </c>
      <c r="K25">
        <v>3.56</v>
      </c>
      <c r="L25">
        <f>AVERAGE(F25,H25,J25)</f>
        <v>74.833333333333329</v>
      </c>
      <c r="M25">
        <f>AVERAGE(G25,I25,K25)</f>
        <v>3.5733333333333337</v>
      </c>
      <c r="N25">
        <v>3.79</v>
      </c>
      <c r="O25">
        <v>3.9</v>
      </c>
      <c r="P25">
        <v>3.55</v>
      </c>
      <c r="Q25">
        <f>AVERAGE(N25:P25)</f>
        <v>3.7466666666666661</v>
      </c>
      <c r="S25" t="s">
        <v>41</v>
      </c>
      <c r="T25">
        <v>10</v>
      </c>
      <c r="U25">
        <v>42.8</v>
      </c>
      <c r="V25">
        <v>3.88</v>
      </c>
      <c r="W25">
        <v>44.6</v>
      </c>
      <c r="X25">
        <v>3.75</v>
      </c>
      <c r="Y25">
        <v>47.9</v>
      </c>
      <c r="Z25">
        <v>3.58</v>
      </c>
      <c r="AA25">
        <f>AVERAGE(U25,W25,Y25)</f>
        <v>45.1</v>
      </c>
      <c r="AB25">
        <f>AVERAGE(V25,X25,Z25)</f>
        <v>3.7366666666666668</v>
      </c>
      <c r="AF25" t="s">
        <v>41</v>
      </c>
      <c r="AG25">
        <v>10</v>
      </c>
      <c r="AH25">
        <v>40.6</v>
      </c>
      <c r="AI25">
        <v>3.92</v>
      </c>
      <c r="AJ25">
        <v>34.299999999999997</v>
      </c>
      <c r="AK25">
        <v>3.92</v>
      </c>
      <c r="AL25">
        <v>55.4</v>
      </c>
      <c r="AM25">
        <v>3.52</v>
      </c>
      <c r="AN25">
        <f>AVERAGE(AH25,AJ25,AL25)</f>
        <v>43.433333333333337</v>
      </c>
      <c r="AO25">
        <f>AVERAGE(AI25,AK25,AM25)</f>
        <v>3.7866666666666666</v>
      </c>
    </row>
    <row r="26" spans="3:41" x14ac:dyDescent="0.25">
      <c r="D26" s="5" t="s">
        <v>41</v>
      </c>
      <c r="E26" s="5">
        <v>20</v>
      </c>
      <c r="F26" s="5">
        <v>3.56</v>
      </c>
      <c r="G26" s="5">
        <v>4.8</v>
      </c>
      <c r="H26" s="5">
        <v>2.97</v>
      </c>
      <c r="I26" s="5">
        <v>4.42</v>
      </c>
      <c r="J26" s="5">
        <v>3.87</v>
      </c>
      <c r="K26" s="5">
        <v>4.4000000000000004</v>
      </c>
      <c r="L26" s="5">
        <f>AVERAGE(F26,H26,J26)</f>
        <v>3.4666666666666668</v>
      </c>
      <c r="M26" s="5">
        <f>AVERAGE(G26,I26,K26)</f>
        <v>4.54</v>
      </c>
      <c r="N26">
        <v>4.53</v>
      </c>
      <c r="O26">
        <v>4.5599999999999996</v>
      </c>
      <c r="P26">
        <v>4.4000000000000004</v>
      </c>
      <c r="Q26">
        <f>AVERAGE(N26:P26)</f>
        <v>4.496666666666667</v>
      </c>
      <c r="S26" s="5" t="s">
        <v>41</v>
      </c>
      <c r="T26" s="5">
        <v>20</v>
      </c>
      <c r="U26" s="5">
        <v>5.48</v>
      </c>
      <c r="V26" s="5">
        <v>4.78</v>
      </c>
      <c r="W26" s="5">
        <v>3.8</v>
      </c>
      <c r="X26" s="5">
        <v>4.6399999999999997</v>
      </c>
      <c r="Y26" s="5">
        <v>4.0599999999999996</v>
      </c>
      <c r="Z26" s="5">
        <v>4.78</v>
      </c>
      <c r="AA26" s="5">
        <f>AVERAGE(U26,W26,Y26)</f>
        <v>4.4466666666666663</v>
      </c>
      <c r="AB26" s="5">
        <f>AVERAGE(V26,X26,Z26)</f>
        <v>4.7333333333333334</v>
      </c>
      <c r="AF26" s="5" t="s">
        <v>41</v>
      </c>
      <c r="AG26" s="5">
        <v>20</v>
      </c>
      <c r="AH26" s="5">
        <v>3.11</v>
      </c>
      <c r="AI26" s="5">
        <v>4.7699999999999996</v>
      </c>
      <c r="AJ26" s="5">
        <v>2.87</v>
      </c>
      <c r="AK26" s="5">
        <v>4.43</v>
      </c>
      <c r="AL26" s="5">
        <v>5.94</v>
      </c>
      <c r="AM26" s="5">
        <v>4.97</v>
      </c>
      <c r="AN26" s="5">
        <f>AVERAGE(AH26,AJ26,AL26)</f>
        <v>3.973333333333334</v>
      </c>
      <c r="AO26" s="5">
        <f>AVERAGE(AI26,AK26,AM26)</f>
        <v>4.7233333333333327</v>
      </c>
    </row>
    <row r="27" spans="3:41" x14ac:dyDescent="0.25">
      <c r="AN27" s="6"/>
      <c r="AO27" s="6"/>
    </row>
    <row r="28" spans="3:41" x14ac:dyDescent="0.25">
      <c r="AN28" s="6"/>
      <c r="AO28" s="6"/>
    </row>
    <row r="29" spans="3:41" x14ac:dyDescent="0.25">
      <c r="D29" t="s">
        <v>60</v>
      </c>
      <c r="E29">
        <v>20</v>
      </c>
      <c r="F29">
        <v>21.2</v>
      </c>
      <c r="G29">
        <v>5.68</v>
      </c>
      <c r="H29">
        <v>20.6</v>
      </c>
      <c r="I29">
        <v>5.57</v>
      </c>
      <c r="J29">
        <v>20.9</v>
      </c>
      <c r="K29">
        <v>6.08</v>
      </c>
      <c r="L29">
        <f>AVERAGE(F29,H29,J29)</f>
        <v>20.9</v>
      </c>
      <c r="M29">
        <f>AVERAGE(G29,I29,K29)</f>
        <v>5.7766666666666664</v>
      </c>
      <c r="S29" t="s">
        <v>60</v>
      </c>
      <c r="T29">
        <v>20</v>
      </c>
      <c r="U29">
        <v>19</v>
      </c>
      <c r="V29">
        <v>7.06</v>
      </c>
      <c r="W29">
        <v>19.8</v>
      </c>
      <c r="X29">
        <v>5.65</v>
      </c>
      <c r="Y29">
        <v>21.3</v>
      </c>
      <c r="Z29">
        <v>5.56</v>
      </c>
      <c r="AA29">
        <f t="shared" ref="AA27:AA33" si="10">AVERAGE(U29,W29,Y29)</f>
        <v>20.033333333333331</v>
      </c>
      <c r="AB29">
        <f t="shared" ref="AB27:AB33" si="11">AVERAGE(V29,X29,Z29)</f>
        <v>6.09</v>
      </c>
      <c r="AF29" t="s">
        <v>60</v>
      </c>
      <c r="AG29">
        <v>20</v>
      </c>
      <c r="AH29">
        <v>25.1</v>
      </c>
      <c r="AI29">
        <v>6.1</v>
      </c>
      <c r="AJ29">
        <v>19.5</v>
      </c>
      <c r="AK29">
        <v>5.57</v>
      </c>
      <c r="AL29">
        <v>23.3</v>
      </c>
      <c r="AM29">
        <v>5.67</v>
      </c>
      <c r="AN29" s="6">
        <f t="shared" ref="AN29:AN33" si="12">AVERAGE(AH29,AJ29,AL29)</f>
        <v>22.633333333333336</v>
      </c>
      <c r="AO29" s="6">
        <f t="shared" ref="AO29:AO33" si="13">AVERAGE(AI29,AK29,AM29)</f>
        <v>5.78</v>
      </c>
    </row>
    <row r="30" spans="3:41" x14ac:dyDescent="0.25">
      <c r="D30" t="s">
        <v>60</v>
      </c>
      <c r="E30">
        <v>30</v>
      </c>
      <c r="F30">
        <v>21.5</v>
      </c>
      <c r="G30">
        <v>8.0399999999999991</v>
      </c>
      <c r="H30">
        <v>24.1</v>
      </c>
      <c r="I30">
        <v>7.41</v>
      </c>
      <c r="J30">
        <v>18.3</v>
      </c>
      <c r="K30">
        <v>6.89</v>
      </c>
      <c r="L30">
        <f t="shared" ref="L30:L31" si="14">AVERAGE(F30,H30,J30)</f>
        <v>21.3</v>
      </c>
      <c r="M30">
        <f t="shared" ref="M30:M31" si="15">AVERAGE(G30,I30,K30)</f>
        <v>7.4466666666666663</v>
      </c>
      <c r="S30" t="s">
        <v>60</v>
      </c>
      <c r="T30">
        <v>30</v>
      </c>
      <c r="U30">
        <v>23.2</v>
      </c>
      <c r="V30">
        <v>7.26</v>
      </c>
      <c r="W30">
        <v>22.8</v>
      </c>
      <c r="X30">
        <v>6.88</v>
      </c>
      <c r="Y30">
        <v>27.2</v>
      </c>
      <c r="Z30">
        <v>7.01</v>
      </c>
      <c r="AA30">
        <f t="shared" si="10"/>
        <v>24.400000000000002</v>
      </c>
      <c r="AB30">
        <f t="shared" si="11"/>
        <v>7.05</v>
      </c>
      <c r="AF30" t="s">
        <v>60</v>
      </c>
      <c r="AG30">
        <v>30</v>
      </c>
      <c r="AH30">
        <v>22.7</v>
      </c>
      <c r="AI30">
        <v>7.39</v>
      </c>
      <c r="AJ30">
        <v>22.7</v>
      </c>
      <c r="AK30">
        <v>7.02</v>
      </c>
      <c r="AL30">
        <v>21.6</v>
      </c>
      <c r="AM30">
        <v>6.92</v>
      </c>
      <c r="AN30" s="6">
        <f t="shared" si="12"/>
        <v>22.333333333333332</v>
      </c>
      <c r="AO30" s="6">
        <f t="shared" si="13"/>
        <v>7.1099999999999994</v>
      </c>
    </row>
    <row r="31" spans="3:41" x14ac:dyDescent="0.25">
      <c r="D31" t="s">
        <v>60</v>
      </c>
      <c r="E31">
        <v>40</v>
      </c>
      <c r="F31">
        <v>16.2</v>
      </c>
      <c r="G31">
        <v>9.4</v>
      </c>
      <c r="H31">
        <v>16</v>
      </c>
      <c r="I31">
        <v>8.99</v>
      </c>
      <c r="J31">
        <v>16.600000000000001</v>
      </c>
      <c r="K31">
        <v>8.4700000000000006</v>
      </c>
      <c r="L31">
        <f t="shared" si="14"/>
        <v>16.266666666666669</v>
      </c>
      <c r="M31">
        <f t="shared" si="15"/>
        <v>8.9533333333333331</v>
      </c>
      <c r="S31" t="s">
        <v>60</v>
      </c>
      <c r="T31">
        <v>40</v>
      </c>
      <c r="U31">
        <v>14.9</v>
      </c>
      <c r="V31">
        <v>12.1</v>
      </c>
      <c r="W31">
        <v>15.5</v>
      </c>
      <c r="X31">
        <v>8.67</v>
      </c>
      <c r="Y31">
        <v>15.2</v>
      </c>
      <c r="Z31">
        <v>8.43</v>
      </c>
      <c r="AA31">
        <f t="shared" si="10"/>
        <v>15.199999999999998</v>
      </c>
      <c r="AB31">
        <f t="shared" si="11"/>
        <v>9.7333333333333325</v>
      </c>
      <c r="AF31" t="s">
        <v>60</v>
      </c>
      <c r="AG31">
        <v>40</v>
      </c>
      <c r="AH31">
        <v>15.9</v>
      </c>
      <c r="AI31">
        <v>8.93</v>
      </c>
      <c r="AJ31">
        <v>15.9</v>
      </c>
      <c r="AK31">
        <v>8.98</v>
      </c>
      <c r="AL31">
        <v>16.399999999999999</v>
      </c>
      <c r="AM31">
        <v>8.85</v>
      </c>
      <c r="AN31" s="6">
        <f t="shared" si="12"/>
        <v>16.066666666666666</v>
      </c>
      <c r="AO31" s="6">
        <f t="shared" si="13"/>
        <v>8.92</v>
      </c>
    </row>
    <row r="32" spans="3:41" x14ac:dyDescent="0.25">
      <c r="D32" t="s">
        <v>60</v>
      </c>
      <c r="E32">
        <v>50</v>
      </c>
      <c r="F32">
        <v>13.1</v>
      </c>
      <c r="G32">
        <v>11.7</v>
      </c>
      <c r="H32">
        <v>13.1</v>
      </c>
      <c r="I32">
        <v>10.9</v>
      </c>
      <c r="J32">
        <v>13.5</v>
      </c>
      <c r="K32">
        <v>13.4</v>
      </c>
      <c r="L32">
        <f>AVERAGE(F32,H32,J32)</f>
        <v>13.233333333333334</v>
      </c>
      <c r="M32">
        <f>AVERAGE(G32,I32,K32)</f>
        <v>12</v>
      </c>
      <c r="S32" t="s">
        <v>60</v>
      </c>
      <c r="T32">
        <v>50</v>
      </c>
      <c r="U32">
        <v>14.2</v>
      </c>
      <c r="V32">
        <v>11.7</v>
      </c>
      <c r="W32">
        <v>14.1</v>
      </c>
      <c r="X32">
        <v>11.4</v>
      </c>
      <c r="Y32">
        <v>13.8</v>
      </c>
      <c r="Z32">
        <v>11.4</v>
      </c>
      <c r="AA32">
        <f t="shared" si="10"/>
        <v>14.033333333333331</v>
      </c>
      <c r="AB32">
        <f t="shared" si="11"/>
        <v>11.5</v>
      </c>
      <c r="AF32" t="s">
        <v>60</v>
      </c>
      <c r="AG32">
        <v>50</v>
      </c>
      <c r="AH32">
        <v>14</v>
      </c>
      <c r="AI32">
        <v>11.2</v>
      </c>
      <c r="AJ32">
        <v>13.8</v>
      </c>
      <c r="AK32">
        <v>12</v>
      </c>
      <c r="AL32">
        <v>13.6</v>
      </c>
      <c r="AM32">
        <v>11.9</v>
      </c>
      <c r="AN32" s="6">
        <f t="shared" si="12"/>
        <v>13.799999999999999</v>
      </c>
      <c r="AO32" s="6">
        <f t="shared" si="13"/>
        <v>11.700000000000001</v>
      </c>
    </row>
    <row r="33" spans="4:41" x14ac:dyDescent="0.25">
      <c r="D33" s="5" t="s">
        <v>60</v>
      </c>
      <c r="E33" s="5">
        <v>60</v>
      </c>
      <c r="F33" s="5">
        <v>0.41699999999999998</v>
      </c>
      <c r="G33" s="5">
        <v>15.3</v>
      </c>
      <c r="H33" s="5">
        <v>0.67400000000000004</v>
      </c>
      <c r="I33" s="5">
        <v>14.5</v>
      </c>
      <c r="J33" s="5">
        <v>1.39</v>
      </c>
      <c r="K33" s="5">
        <v>14.7</v>
      </c>
      <c r="L33" s="5">
        <f>AVERAGE(F33,H33,J33)</f>
        <v>0.82699999999999996</v>
      </c>
      <c r="M33" s="5">
        <f>AVERAGE(G33,I33,K33)</f>
        <v>14.833333333333334</v>
      </c>
      <c r="S33" s="5" t="s">
        <v>60</v>
      </c>
      <c r="T33" s="5">
        <v>60</v>
      </c>
      <c r="U33" s="5">
        <v>0.14199999999999999</v>
      </c>
      <c r="V33" s="5">
        <v>15.2</v>
      </c>
      <c r="W33" s="5">
        <v>8.17</v>
      </c>
      <c r="X33" s="5">
        <v>15.2</v>
      </c>
      <c r="Y33" s="5">
        <v>0.69499999999999995</v>
      </c>
      <c r="Z33" s="5">
        <v>15.1</v>
      </c>
      <c r="AA33" s="5">
        <f t="shared" si="10"/>
        <v>3.0023333333333331</v>
      </c>
      <c r="AB33" s="5">
        <f t="shared" si="11"/>
        <v>15.166666666666666</v>
      </c>
      <c r="AF33" s="5" t="s">
        <v>60</v>
      </c>
      <c r="AG33" s="5">
        <v>60</v>
      </c>
      <c r="AH33" s="5">
        <v>0.152</v>
      </c>
      <c r="AI33" s="5">
        <v>17.399999999999999</v>
      </c>
      <c r="AJ33" s="5">
        <v>0.56100000000000005</v>
      </c>
      <c r="AK33" s="5">
        <v>16.399999999999999</v>
      </c>
      <c r="AL33" s="5">
        <v>0.27200000000000002</v>
      </c>
      <c r="AM33" s="5">
        <v>15.7</v>
      </c>
      <c r="AN33" s="5">
        <f t="shared" si="12"/>
        <v>0.32833333333333337</v>
      </c>
      <c r="AO33" s="5">
        <f t="shared" si="13"/>
        <v>16.5</v>
      </c>
    </row>
    <row r="34" spans="4:41" x14ac:dyDescent="0.25">
      <c r="L34" s="6"/>
      <c r="M34" s="6"/>
    </row>
    <row r="35" spans="4:41" x14ac:dyDescent="0.25">
      <c r="L35" s="6"/>
      <c r="M35" s="6"/>
    </row>
    <row r="36" spans="4:41" x14ac:dyDescent="0.25">
      <c r="D36" t="s">
        <v>61</v>
      </c>
      <c r="E36">
        <v>10</v>
      </c>
      <c r="F36">
        <v>83.7</v>
      </c>
      <c r="G36">
        <v>3.74</v>
      </c>
      <c r="H36">
        <v>82.9</v>
      </c>
      <c r="I36">
        <v>4.22</v>
      </c>
      <c r="J36">
        <v>80.5</v>
      </c>
      <c r="K36">
        <v>3.76</v>
      </c>
      <c r="L36" s="6">
        <f t="shared" ref="L34:L37" si="16">AVERAGE(F36,H36,J36)</f>
        <v>82.366666666666674</v>
      </c>
      <c r="M36" s="6">
        <f t="shared" ref="M34:M37" si="17">AVERAGE(G36,I36,K36)</f>
        <v>3.9066666666666663</v>
      </c>
      <c r="S36" t="s">
        <v>61</v>
      </c>
      <c r="T36">
        <v>10</v>
      </c>
      <c r="U36">
        <v>50.9</v>
      </c>
      <c r="V36">
        <v>3.87</v>
      </c>
      <c r="W36">
        <v>61.4</v>
      </c>
      <c r="X36">
        <v>3.5</v>
      </c>
      <c r="Y36">
        <v>45.1</v>
      </c>
      <c r="Z36">
        <v>3.67</v>
      </c>
      <c r="AA36" s="6">
        <f t="shared" ref="AA36:AA37" si="18">AVERAGE(U36,W36,Y36)</f>
        <v>52.466666666666669</v>
      </c>
      <c r="AB36" s="6">
        <f t="shared" ref="AB36:AB37" si="19">AVERAGE(V36,X36,Z36)</f>
        <v>3.6799999999999997</v>
      </c>
      <c r="AF36" t="s">
        <v>61</v>
      </c>
      <c r="AG36">
        <v>10</v>
      </c>
      <c r="AH36">
        <v>65.099999999999994</v>
      </c>
      <c r="AI36">
        <v>3.81</v>
      </c>
      <c r="AJ36">
        <v>59.3</v>
      </c>
      <c r="AK36">
        <v>3.57</v>
      </c>
      <c r="AL36">
        <v>75.3</v>
      </c>
      <c r="AM36">
        <v>3.81</v>
      </c>
      <c r="AN36" s="6">
        <f t="shared" ref="AN36:AN37" si="20">AVERAGE(AH36,AJ36,AL36)</f>
        <v>66.566666666666663</v>
      </c>
      <c r="AO36" s="6">
        <f t="shared" ref="AO36:AO37" si="21">AVERAGE(AI36,AK36,AM36)</f>
        <v>3.73</v>
      </c>
    </row>
    <row r="37" spans="4:41" x14ac:dyDescent="0.25">
      <c r="D37" s="5" t="s">
        <v>61</v>
      </c>
      <c r="E37" s="5">
        <v>20</v>
      </c>
      <c r="F37" s="5">
        <v>2.74</v>
      </c>
      <c r="G37" s="5">
        <v>5.21</v>
      </c>
      <c r="H37" s="5">
        <v>1.42</v>
      </c>
      <c r="I37" s="5">
        <v>4.54</v>
      </c>
      <c r="J37" s="5">
        <v>1.4</v>
      </c>
      <c r="K37" s="5">
        <v>4.57</v>
      </c>
      <c r="L37" s="5">
        <f t="shared" si="16"/>
        <v>1.8533333333333335</v>
      </c>
      <c r="M37" s="5">
        <f t="shared" si="17"/>
        <v>4.7733333333333334</v>
      </c>
      <c r="S37" s="5" t="s">
        <v>61</v>
      </c>
      <c r="T37" s="5">
        <v>20</v>
      </c>
      <c r="U37" s="5">
        <v>2.8</v>
      </c>
      <c r="V37" s="5">
        <v>4.6500000000000004</v>
      </c>
      <c r="W37" s="5">
        <v>2.81</v>
      </c>
      <c r="X37" s="5">
        <v>4.54</v>
      </c>
      <c r="Y37" s="5">
        <v>2.17</v>
      </c>
      <c r="Z37" s="5">
        <v>4.29</v>
      </c>
      <c r="AA37" s="5">
        <f t="shared" si="18"/>
        <v>2.5933333333333333</v>
      </c>
      <c r="AB37" s="5">
        <f>AVERAGE(V37,X37,Z37)</f>
        <v>4.4933333333333332</v>
      </c>
      <c r="AF37" s="5" t="s">
        <v>61</v>
      </c>
      <c r="AG37" s="5">
        <v>20</v>
      </c>
      <c r="AH37" s="5">
        <v>3.16</v>
      </c>
      <c r="AI37" s="5">
        <v>4.5599999999999996</v>
      </c>
      <c r="AJ37" s="5">
        <v>3.03</v>
      </c>
      <c r="AK37" s="5">
        <v>4.38</v>
      </c>
      <c r="AL37" s="5">
        <v>1.87</v>
      </c>
      <c r="AM37" s="5">
        <v>4.47</v>
      </c>
      <c r="AN37" s="5">
        <f t="shared" si="20"/>
        <v>2.6866666666666661</v>
      </c>
      <c r="AO37" s="5">
        <f t="shared" si="21"/>
        <v>4.47</v>
      </c>
    </row>
    <row r="47" spans="4:41" x14ac:dyDescent="0.25">
      <c r="G47" t="s">
        <v>30</v>
      </c>
      <c r="I47" t="s">
        <v>40</v>
      </c>
      <c r="K47" t="s">
        <v>41</v>
      </c>
      <c r="M47" t="s">
        <v>60</v>
      </c>
      <c r="O47" t="s">
        <v>62</v>
      </c>
    </row>
    <row r="48" spans="4:41" x14ac:dyDescent="0.25">
      <c r="F48" t="s">
        <v>43</v>
      </c>
      <c r="G48">
        <f>AVERAGE(M14,AB14,AO14)</f>
        <v>17.388888888888889</v>
      </c>
      <c r="I48" s="4">
        <f>AVERAGE(M20,AB20,AO20)</f>
        <v>12.466666666666667</v>
      </c>
      <c r="K48" s="4">
        <f>AVERAGE(M26,AB26,AO26)</f>
        <v>4.6655555555555557</v>
      </c>
      <c r="M48">
        <f>AVERAGE(M33,AB33,AO33)</f>
        <v>15.5</v>
      </c>
      <c r="O48">
        <f>AVERAGE(M37,AB37,AO37)</f>
        <v>4.5788888888888879</v>
      </c>
    </row>
    <row r="49" spans="6:15" x14ac:dyDescent="0.25">
      <c r="F49" t="s">
        <v>44</v>
      </c>
      <c r="G49" s="4">
        <f>G48/3600</f>
        <v>4.8302469135802469E-3</v>
      </c>
      <c r="I49" s="4">
        <f>I48/3600</f>
        <v>3.4629629629629628E-3</v>
      </c>
      <c r="K49" s="4">
        <f>K48/3600</f>
        <v>1.2959876543209878E-3</v>
      </c>
      <c r="M49" s="4">
        <f>M48/3600</f>
        <v>4.3055555555555555E-3</v>
      </c>
      <c r="O49" s="4">
        <f>O48/3600</f>
        <v>1.2719135802469134E-3</v>
      </c>
    </row>
    <row r="50" spans="6:15" x14ac:dyDescent="0.25">
      <c r="F50" t="s">
        <v>46</v>
      </c>
      <c r="G50" s="4">
        <f>20/1000*G49</f>
        <v>9.6604938271604941E-5</v>
      </c>
      <c r="I50" s="4">
        <f>20/1000*I49</f>
        <v>6.9259259259259252E-5</v>
      </c>
      <c r="K50" s="4">
        <f>20/1000*K49</f>
        <v>2.5919753086419756E-5</v>
      </c>
      <c r="M50" s="4">
        <f>20/1000*M49</f>
        <v>8.6111111111111119E-5</v>
      </c>
      <c r="O50" s="4">
        <f>20/1000*O49</f>
        <v>2.543827160493827E-5</v>
      </c>
    </row>
    <row r="51" spans="6:15" x14ac:dyDescent="0.25">
      <c r="F51" t="s">
        <v>47</v>
      </c>
      <c r="G51" s="4">
        <f>390/1000*G49</f>
        <v>1.8837962962962964E-3</v>
      </c>
      <c r="I51" s="4">
        <f>390/1000*I49</f>
        <v>1.3505555555555556E-3</v>
      </c>
      <c r="K51" s="4">
        <f>390/1000*K49</f>
        <v>5.0543518518518526E-4</v>
      </c>
      <c r="M51" s="4">
        <f>390/1000*M49</f>
        <v>1.6791666666666667E-3</v>
      </c>
      <c r="O51" s="4">
        <f>390/1000*O49</f>
        <v>4.960462962962963E-4</v>
      </c>
    </row>
    <row r="52" spans="6:15" x14ac:dyDescent="0.25">
      <c r="F52" t="s">
        <v>48</v>
      </c>
      <c r="G52" s="4">
        <f>G51+G50</f>
        <v>1.9804012345679013E-3</v>
      </c>
      <c r="I52" s="4">
        <f>I51+I50</f>
        <v>1.4198148148148147E-3</v>
      </c>
      <c r="K52" s="4">
        <f>K51+K50</f>
        <v>5.3135493827160499E-4</v>
      </c>
      <c r="M52" s="4">
        <f>M51+M50</f>
        <v>1.7652777777777777E-3</v>
      </c>
      <c r="O52" s="4">
        <f>O51+O50</f>
        <v>5.2148456790123451E-4</v>
      </c>
    </row>
    <row r="53" spans="6:15" x14ac:dyDescent="0.25">
      <c r="F53" t="s">
        <v>45</v>
      </c>
      <c r="G53" s="4">
        <f>237.589*(G50+G51)</f>
        <v>0.47052154891975306</v>
      </c>
      <c r="I53" s="4">
        <f>237.589*(I50+I51)</f>
        <v>0.33733238203703703</v>
      </c>
      <c r="K53" s="4">
        <f>237.589*(K50+K51)</f>
        <v>0.12624408842901236</v>
      </c>
      <c r="M53" s="4">
        <f>237.589*(M50+M51)</f>
        <v>0.41941058194444442</v>
      </c>
      <c r="O53" s="4">
        <f>237.589*(O50+O51)</f>
        <v>0.1238989970030864</v>
      </c>
    </row>
    <row r="55" spans="6:15" x14ac:dyDescent="0.25">
      <c r="F55" t="s">
        <v>63</v>
      </c>
      <c r="G55">
        <v>0</v>
      </c>
      <c r="I55">
        <f>((G53-I53)/G53)*100</f>
        <v>28.306709265175716</v>
      </c>
      <c r="K55">
        <f>((G53-K53)/G53)*100</f>
        <v>73.16932907348243</v>
      </c>
      <c r="M55">
        <f>((G53-M53)/G53)*100</f>
        <v>10.862619808306711</v>
      </c>
      <c r="O55">
        <f>((G53-O53)/G53)*100</f>
        <v>73.667731629392975</v>
      </c>
    </row>
    <row r="57" spans="6:15" x14ac:dyDescent="0.25">
      <c r="F57" t="s">
        <v>64</v>
      </c>
      <c r="G57">
        <v>8</v>
      </c>
      <c r="I57">
        <v>5</v>
      </c>
      <c r="K57">
        <v>2</v>
      </c>
      <c r="M57">
        <v>6</v>
      </c>
      <c r="O57">
        <v>2</v>
      </c>
    </row>
    <row r="59" spans="6:15" x14ac:dyDescent="0.25">
      <c r="F59" t="s">
        <v>65</v>
      </c>
      <c r="G59">
        <v>0</v>
      </c>
      <c r="I59">
        <f>((G57-I57)/G57)*100</f>
        <v>37.5</v>
      </c>
      <c r="K59">
        <f>((G57-K57)/G57)*100</f>
        <v>75</v>
      </c>
      <c r="M59">
        <f>((G57-M57)/G57)*100</f>
        <v>25</v>
      </c>
      <c r="O59">
        <f>((G57-O57)/G57)*100</f>
        <v>75</v>
      </c>
    </row>
    <row r="61" spans="6:15" x14ac:dyDescent="0.25">
      <c r="F61" t="s">
        <v>66</v>
      </c>
      <c r="G61">
        <v>4</v>
      </c>
      <c r="I61">
        <v>5</v>
      </c>
      <c r="K61">
        <v>4</v>
      </c>
      <c r="M61">
        <v>6</v>
      </c>
      <c r="O61">
        <v>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49AD-332B-4415-82D4-2F9A7E15AE8D}">
  <dimension ref="C5:P51"/>
  <sheetViews>
    <sheetView tabSelected="1" topLeftCell="A34" workbookViewId="0">
      <selection activeCell="J51" sqref="J51"/>
    </sheetView>
  </sheetViews>
  <sheetFormatPr defaultRowHeight="15" x14ac:dyDescent="0.25"/>
  <cols>
    <col min="3" max="3" width="16.140625" customWidth="1"/>
    <col min="4" max="4" width="14.7109375" bestFit="1" customWidth="1"/>
    <col min="6" max="6" width="14.7109375" bestFit="1" customWidth="1"/>
    <col min="8" max="8" width="14.7109375" bestFit="1" customWidth="1"/>
    <col min="14" max="14" width="14.7109375" bestFit="1" customWidth="1"/>
    <col min="16" max="16" width="14.7109375" bestFit="1" customWidth="1"/>
  </cols>
  <sheetData>
    <row r="5" spans="3:12" x14ac:dyDescent="0.25">
      <c r="C5" t="s">
        <v>4</v>
      </c>
      <c r="D5" t="s">
        <v>49</v>
      </c>
      <c r="E5" t="s">
        <v>27</v>
      </c>
      <c r="F5" t="s">
        <v>32</v>
      </c>
      <c r="G5" t="s">
        <v>28</v>
      </c>
      <c r="H5" t="s">
        <v>33</v>
      </c>
      <c r="I5" t="s">
        <v>29</v>
      </c>
      <c r="J5" t="s">
        <v>34</v>
      </c>
      <c r="K5" t="s">
        <v>35</v>
      </c>
      <c r="L5" t="s">
        <v>36</v>
      </c>
    </row>
    <row r="6" spans="3:12" x14ac:dyDescent="0.25">
      <c r="C6" t="s">
        <v>30</v>
      </c>
      <c r="D6">
        <v>5</v>
      </c>
      <c r="E6">
        <v>80.3</v>
      </c>
      <c r="F6">
        <v>2.76</v>
      </c>
      <c r="G6">
        <v>80.3</v>
      </c>
      <c r="H6">
        <v>2.61</v>
      </c>
      <c r="I6">
        <v>80.3</v>
      </c>
      <c r="J6">
        <v>3.25</v>
      </c>
      <c r="K6">
        <f t="shared" ref="K6:L8" si="0">AVERAGE(E6,G6,I6)</f>
        <v>80.3</v>
      </c>
      <c r="L6">
        <f t="shared" si="0"/>
        <v>2.8733333333333331</v>
      </c>
    </row>
    <row r="7" spans="3:12" x14ac:dyDescent="0.25">
      <c r="C7" t="s">
        <v>31</v>
      </c>
      <c r="D7">
        <v>6</v>
      </c>
      <c r="E7">
        <v>100</v>
      </c>
      <c r="F7">
        <v>2.83</v>
      </c>
      <c r="G7">
        <v>100</v>
      </c>
      <c r="H7">
        <v>2.61</v>
      </c>
      <c r="I7">
        <v>100</v>
      </c>
      <c r="J7">
        <v>2.65</v>
      </c>
      <c r="K7">
        <f t="shared" si="0"/>
        <v>100</v>
      </c>
      <c r="L7">
        <f t="shared" si="0"/>
        <v>2.6966666666666668</v>
      </c>
    </row>
    <row r="8" spans="3:12" x14ac:dyDescent="0.25">
      <c r="C8" t="s">
        <v>30</v>
      </c>
      <c r="D8">
        <v>7</v>
      </c>
      <c r="E8">
        <v>0.92100000000000004</v>
      </c>
      <c r="F8">
        <v>2.68</v>
      </c>
      <c r="G8">
        <v>0.92100000000000004</v>
      </c>
      <c r="H8">
        <v>2.81</v>
      </c>
      <c r="I8">
        <v>0.92100000000000004</v>
      </c>
      <c r="J8">
        <v>2.78</v>
      </c>
      <c r="K8">
        <f t="shared" si="0"/>
        <v>0.92099999999999993</v>
      </c>
      <c r="L8">
        <f t="shared" si="0"/>
        <v>2.7566666666666664</v>
      </c>
    </row>
    <row r="11" spans="3:12" x14ac:dyDescent="0.25">
      <c r="C11" t="s">
        <v>60</v>
      </c>
      <c r="D11">
        <v>5</v>
      </c>
      <c r="E11">
        <v>12.1</v>
      </c>
      <c r="F11">
        <v>4.58</v>
      </c>
      <c r="G11">
        <v>12.1</v>
      </c>
      <c r="H11">
        <v>4.22</v>
      </c>
      <c r="I11">
        <v>12.1</v>
      </c>
      <c r="J11">
        <v>4.8</v>
      </c>
      <c r="K11">
        <f t="shared" ref="K11:L12" si="1">AVERAGE(E11,G11,I11)</f>
        <v>12.1</v>
      </c>
      <c r="L11">
        <f t="shared" si="1"/>
        <v>4.5333333333333341</v>
      </c>
    </row>
    <row r="12" spans="3:12" x14ac:dyDescent="0.25">
      <c r="C12" t="s">
        <v>60</v>
      </c>
      <c r="D12">
        <v>6</v>
      </c>
      <c r="E12">
        <v>0.81699999999999995</v>
      </c>
      <c r="F12">
        <v>4.49</v>
      </c>
      <c r="G12">
        <v>0.79500000000000004</v>
      </c>
      <c r="H12">
        <v>4.68</v>
      </c>
      <c r="I12">
        <v>0.81299999999999994</v>
      </c>
      <c r="J12">
        <v>4.2</v>
      </c>
      <c r="K12">
        <f t="shared" si="1"/>
        <v>0.80833333333333324</v>
      </c>
      <c r="L12">
        <f t="shared" si="1"/>
        <v>4.456666666666667</v>
      </c>
    </row>
    <row r="15" spans="3:12" x14ac:dyDescent="0.25">
      <c r="C15" t="s">
        <v>62</v>
      </c>
      <c r="D15">
        <v>2</v>
      </c>
      <c r="E15">
        <v>13.8</v>
      </c>
      <c r="F15">
        <v>3.7</v>
      </c>
      <c r="G15">
        <v>13.8</v>
      </c>
      <c r="H15">
        <v>3.37</v>
      </c>
      <c r="I15">
        <v>13.8</v>
      </c>
      <c r="J15">
        <v>3.55</v>
      </c>
      <c r="K15">
        <f>AVERAGE(E15,G15,I15)</f>
        <v>13.800000000000002</v>
      </c>
      <c r="L15">
        <f>AVERAGE(F15,H15,J15)</f>
        <v>3.5400000000000005</v>
      </c>
    </row>
    <row r="16" spans="3:12" x14ac:dyDescent="0.25">
      <c r="C16" t="s">
        <v>62</v>
      </c>
      <c r="D16">
        <v>3</v>
      </c>
      <c r="E16">
        <v>0.56200000000000006</v>
      </c>
      <c r="F16">
        <v>3.54</v>
      </c>
      <c r="G16">
        <v>0.56200000000000006</v>
      </c>
      <c r="H16">
        <v>3.8</v>
      </c>
      <c r="I16">
        <v>0.56200000000000006</v>
      </c>
      <c r="J16">
        <v>3.57</v>
      </c>
      <c r="K16">
        <f>AVERAGE(E16,G16,I16)</f>
        <v>0.56200000000000006</v>
      </c>
      <c r="L16">
        <f>AVERAGE(F16,H16,J16)</f>
        <v>3.6366666666666667</v>
      </c>
    </row>
    <row r="19" spans="3:16" x14ac:dyDescent="0.25">
      <c r="C19" t="s">
        <v>40</v>
      </c>
      <c r="D19">
        <v>4</v>
      </c>
      <c r="E19">
        <v>12.8</v>
      </c>
      <c r="F19">
        <v>4.4400000000000004</v>
      </c>
      <c r="G19">
        <v>12.9</v>
      </c>
      <c r="H19">
        <v>4.12</v>
      </c>
      <c r="I19">
        <v>13.1</v>
      </c>
      <c r="J19">
        <v>4.1500000000000004</v>
      </c>
      <c r="K19">
        <f t="shared" ref="K19:K25" si="2">AVERAGE(E19,G19,I19)</f>
        <v>12.933333333333335</v>
      </c>
      <c r="L19">
        <f t="shared" ref="L19:L25" si="3">AVERAGE(F19,H19,J19)</f>
        <v>4.2366666666666672</v>
      </c>
    </row>
    <row r="20" spans="3:16" x14ac:dyDescent="0.25">
      <c r="C20" t="s">
        <v>40</v>
      </c>
      <c r="D20">
        <v>5</v>
      </c>
      <c r="E20">
        <v>9.3699999999999992</v>
      </c>
      <c r="F20">
        <v>4.49</v>
      </c>
      <c r="G20">
        <v>9.19</v>
      </c>
      <c r="H20">
        <v>4.09</v>
      </c>
      <c r="I20">
        <v>9.2899999999999991</v>
      </c>
      <c r="J20">
        <v>4.21</v>
      </c>
      <c r="K20">
        <f t="shared" si="2"/>
        <v>9.2833333333333332</v>
      </c>
      <c r="L20">
        <f t="shared" si="3"/>
        <v>4.2633333333333328</v>
      </c>
    </row>
    <row r="23" spans="3:16" x14ac:dyDescent="0.25">
      <c r="C23" t="s">
        <v>41</v>
      </c>
      <c r="D23">
        <v>1</v>
      </c>
      <c r="E23">
        <v>163.80000000000001</v>
      </c>
      <c r="F23">
        <v>3.71</v>
      </c>
      <c r="G23">
        <v>163.69999999999999</v>
      </c>
      <c r="H23">
        <v>3.31</v>
      </c>
      <c r="I23">
        <v>163.69999999999999</v>
      </c>
      <c r="J23">
        <v>3.38</v>
      </c>
      <c r="K23">
        <f t="shared" si="2"/>
        <v>163.73333333333332</v>
      </c>
      <c r="L23">
        <f t="shared" si="3"/>
        <v>3.4666666666666663</v>
      </c>
    </row>
    <row r="24" spans="3:16" x14ac:dyDescent="0.25">
      <c r="C24" t="s">
        <v>41</v>
      </c>
      <c r="D24">
        <v>2</v>
      </c>
      <c r="E24">
        <v>21.2</v>
      </c>
      <c r="F24">
        <v>3.48</v>
      </c>
      <c r="G24">
        <v>21.3</v>
      </c>
      <c r="H24">
        <v>3.36</v>
      </c>
      <c r="I24">
        <v>21.3</v>
      </c>
      <c r="J24">
        <v>3.37</v>
      </c>
      <c r="K24">
        <f t="shared" si="2"/>
        <v>21.266666666666666</v>
      </c>
      <c r="L24">
        <f t="shared" si="3"/>
        <v>3.4033333333333338</v>
      </c>
    </row>
    <row r="25" spans="3:16" x14ac:dyDescent="0.25">
      <c r="C25" t="s">
        <v>41</v>
      </c>
      <c r="D25">
        <v>3</v>
      </c>
      <c r="E25">
        <v>0.53600000000000003</v>
      </c>
      <c r="F25">
        <v>3.601</v>
      </c>
      <c r="G25">
        <v>0.53600000000000003</v>
      </c>
      <c r="H25">
        <v>3.38</v>
      </c>
      <c r="I25">
        <v>0.53600000000000003</v>
      </c>
      <c r="J25">
        <v>3.3380000000000001</v>
      </c>
      <c r="K25">
        <f t="shared" si="2"/>
        <v>0.53600000000000003</v>
      </c>
      <c r="L25">
        <f t="shared" si="3"/>
        <v>3.4396666666666662</v>
      </c>
    </row>
    <row r="28" spans="3:16" x14ac:dyDescent="0.25">
      <c r="D28" t="s">
        <v>30</v>
      </c>
      <c r="F28" t="s">
        <v>40</v>
      </c>
      <c r="H28" t="s">
        <v>41</v>
      </c>
      <c r="N28" t="s">
        <v>60</v>
      </c>
      <c r="P28" t="s">
        <v>62</v>
      </c>
    </row>
    <row r="29" spans="3:16" x14ac:dyDescent="0.25">
      <c r="C29" t="s">
        <v>43</v>
      </c>
      <c r="D29">
        <f>L8</f>
        <v>2.7566666666666664</v>
      </c>
      <c r="F29" s="4">
        <f>L20</f>
        <v>4.2633333333333328</v>
      </c>
      <c r="H29" s="4">
        <f>L25</f>
        <v>3.4396666666666662</v>
      </c>
      <c r="N29" s="4">
        <f>L12</f>
        <v>4.456666666666667</v>
      </c>
      <c r="P29" s="4">
        <f>L16</f>
        <v>3.6366666666666667</v>
      </c>
    </row>
    <row r="30" spans="3:16" x14ac:dyDescent="0.25">
      <c r="C30" t="s">
        <v>44</v>
      </c>
      <c r="D30" s="4">
        <f>D29/3600</f>
        <v>7.6574074074074066E-4</v>
      </c>
      <c r="F30" s="4">
        <f>F29/3600</f>
        <v>1.184259259259259E-3</v>
      </c>
      <c r="H30" s="4">
        <f>H29/3600</f>
        <v>9.5546296296296286E-4</v>
      </c>
      <c r="N30" s="4">
        <f>N29/3600</f>
        <v>1.2379629629629631E-3</v>
      </c>
      <c r="P30" s="4">
        <f>P29/3600</f>
        <v>1.0101851851851851E-3</v>
      </c>
    </row>
    <row r="31" spans="3:16" x14ac:dyDescent="0.25">
      <c r="C31" t="s">
        <v>46</v>
      </c>
      <c r="D31" s="4">
        <f>20/1000*D30</f>
        <v>1.5314814814814812E-5</v>
      </c>
      <c r="F31" s="4">
        <f>20/1000*F30</f>
        <v>2.3685185185185181E-5</v>
      </c>
      <c r="H31" s="4">
        <f>20/1000*H30</f>
        <v>1.9109259259259256E-5</v>
      </c>
      <c r="N31" s="4">
        <f>20/1000*N30</f>
        <v>2.4759259259259262E-5</v>
      </c>
      <c r="P31" s="4">
        <f>20/1000*P30</f>
        <v>2.0203703703703703E-5</v>
      </c>
    </row>
    <row r="32" spans="3:16" x14ac:dyDescent="0.25">
      <c r="C32" t="s">
        <v>47</v>
      </c>
      <c r="D32" s="4">
        <f>390/1000*D30</f>
        <v>2.9863888888888887E-4</v>
      </c>
      <c r="F32" s="4">
        <f>390/1000*F30</f>
        <v>4.6186111111111102E-4</v>
      </c>
      <c r="H32" s="4">
        <f>390/1000*H30</f>
        <v>3.7263055555555554E-4</v>
      </c>
      <c r="N32" s="4">
        <f>390/1000*N30</f>
        <v>4.828055555555556E-4</v>
      </c>
      <c r="P32" s="4">
        <f>390/1000*P30</f>
        <v>3.9397222222222221E-4</v>
      </c>
    </row>
    <row r="33" spans="3:16" x14ac:dyDescent="0.25">
      <c r="C33" t="s">
        <v>48</v>
      </c>
      <c r="D33" s="4">
        <f>D32+D31</f>
        <v>3.1395370370370366E-4</v>
      </c>
      <c r="F33" s="4">
        <f>F32+F31</f>
        <v>4.855462962962962E-4</v>
      </c>
      <c r="H33" s="4">
        <f>H32+H31</f>
        <v>3.9173981481481479E-4</v>
      </c>
      <c r="N33" s="4">
        <f>N32+N31</f>
        <v>5.0756481481481486E-4</v>
      </c>
      <c r="P33" s="4">
        <f>P32+P31</f>
        <v>4.1417592592592591E-4</v>
      </c>
    </row>
    <row r="34" spans="3:16" x14ac:dyDescent="0.25">
      <c r="C34" t="s">
        <v>45</v>
      </c>
      <c r="D34" s="4">
        <f>237.589*(D31+D32)</f>
        <v>7.4591946509259252E-2</v>
      </c>
      <c r="F34" s="4">
        <f>237.589*(F31+F32)</f>
        <v>0.11536045899074072</v>
      </c>
      <c r="H34" s="4">
        <f>237.589*(H31+H32)</f>
        <v>9.3073070862037033E-2</v>
      </c>
      <c r="N34" s="4">
        <f>237.589*(N31+N32)</f>
        <v>0.12059181678703705</v>
      </c>
      <c r="P34" s="4">
        <f>237.589*(P31+P32)</f>
        <v>9.8403644064814805E-2</v>
      </c>
    </row>
    <row r="38" spans="3:16" x14ac:dyDescent="0.25">
      <c r="C38" t="s">
        <v>50</v>
      </c>
      <c r="D38">
        <v>4</v>
      </c>
      <c r="F38">
        <v>5</v>
      </c>
      <c r="H38">
        <v>4</v>
      </c>
      <c r="N38">
        <v>6</v>
      </c>
      <c r="P38">
        <v>5</v>
      </c>
    </row>
    <row r="39" spans="3:16" x14ac:dyDescent="0.25">
      <c r="D39" t="s">
        <v>51</v>
      </c>
      <c r="N39" t="s">
        <v>55</v>
      </c>
      <c r="P39" t="s">
        <v>55</v>
      </c>
    </row>
    <row r="40" spans="3:16" x14ac:dyDescent="0.25">
      <c r="D40" t="s">
        <v>52</v>
      </c>
      <c r="N40" t="s">
        <v>52</v>
      </c>
      <c r="P40" t="s">
        <v>52</v>
      </c>
    </row>
    <row r="41" spans="3:16" x14ac:dyDescent="0.25">
      <c r="D41" t="s">
        <v>53</v>
      </c>
      <c r="N41" t="s">
        <v>53</v>
      </c>
      <c r="P41" t="s">
        <v>53</v>
      </c>
    </row>
    <row r="42" spans="3:16" x14ac:dyDescent="0.25">
      <c r="D42" t="s">
        <v>54</v>
      </c>
      <c r="N42" t="s">
        <v>56</v>
      </c>
      <c r="P42" t="s">
        <v>54</v>
      </c>
    </row>
    <row r="43" spans="3:16" x14ac:dyDescent="0.25">
      <c r="N43" t="s">
        <v>56</v>
      </c>
      <c r="P43" t="s">
        <v>54</v>
      </c>
    </row>
    <row r="44" spans="3:16" x14ac:dyDescent="0.25">
      <c r="N44" t="s">
        <v>57</v>
      </c>
    </row>
    <row r="47" spans="3:16" x14ac:dyDescent="0.25">
      <c r="C47" t="s">
        <v>64</v>
      </c>
      <c r="D47">
        <v>7</v>
      </c>
      <c r="F47">
        <v>5</v>
      </c>
      <c r="H47">
        <v>3</v>
      </c>
      <c r="N47">
        <v>6</v>
      </c>
      <c r="P47">
        <v>3</v>
      </c>
    </row>
    <row r="49" spans="3:16" x14ac:dyDescent="0.25">
      <c r="C49" t="s">
        <v>67</v>
      </c>
      <c r="D49">
        <f>(($D$47-D47)/$D$47)*100</f>
        <v>0</v>
      </c>
      <c r="F49">
        <f>(($D$47-F47)/$D$47)*100</f>
        <v>28.571428571428569</v>
      </c>
      <c r="H49">
        <f>(($D$47-H47)/$D$47)*100</f>
        <v>57.142857142857139</v>
      </c>
      <c r="N49">
        <f>(($D$47-N47)/$D$47)*100</f>
        <v>14.285714285714285</v>
      </c>
      <c r="P49">
        <f>(($D$47-P47)/$D$47)*100</f>
        <v>57.142857142857139</v>
      </c>
    </row>
    <row r="51" spans="3:16" x14ac:dyDescent="0.25">
      <c r="C51" t="s">
        <v>68</v>
      </c>
      <c r="D51">
        <f>(($D$34-D34)/$D$34)*100</f>
        <v>0</v>
      </c>
      <c r="F51">
        <f>(($D$34-F34)/$D$34)*100</f>
        <v>-54.655380894800473</v>
      </c>
      <c r="H51">
        <f>(($D$34-H34)/$D$34)*100</f>
        <v>-24.776299879081023</v>
      </c>
      <c r="N51">
        <f>(($D$34-N34)/$D$34)*100</f>
        <v>-61.668681983071373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attempt</vt:lpstr>
      <vt:lpstr>DO NOT USE - Seed 21</vt:lpstr>
      <vt:lpstr>Grid Tests</vt:lpstr>
      <vt:lpstr>Strip Tests</vt:lpstr>
      <vt:lpstr>Strip Tests January</vt:lpstr>
      <vt:lpstr>NMSE rerun</vt:lpstr>
      <vt:lpstr>GARTEUR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Bradley</dc:creator>
  <cp:lastModifiedBy>Daisy Bradley</cp:lastModifiedBy>
  <dcterms:created xsi:type="dcterms:W3CDTF">2025-12-15T15:46:18Z</dcterms:created>
  <dcterms:modified xsi:type="dcterms:W3CDTF">2026-01-23T16:56:18Z</dcterms:modified>
</cp:coreProperties>
</file>