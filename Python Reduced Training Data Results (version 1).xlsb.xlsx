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2001_{D4DB3FFB-F8BC-4776-A630-F1ACA07797E0}" xr6:coauthVersionLast="47" xr6:coauthVersionMax="47" xr10:uidLastSave="{00000000-0000-0000-0000-000000000000}"/>
  <bookViews>
    <workbookView xWindow="-120" yWindow="-120" windowWidth="29040" windowHeight="15720" activeTab="5" xr2:uid="{19C7D15D-E830-43C1-9EED-066C80D1A608}"/>
  </bookViews>
  <sheets>
    <sheet name="First attempt" sheetId="1" r:id="rId1"/>
    <sheet name="DO NOT USE - Seed 21" sheetId="2" r:id="rId2"/>
    <sheet name="Grid Tests" sheetId="3" r:id="rId3"/>
    <sheet name="Strip Tests" sheetId="4" r:id="rId4"/>
    <sheet name="Strip Tests January" sheetId="5" r:id="rId5"/>
    <sheet name="Sheet1" sheetId="6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6" l="1"/>
  <c r="K31" i="6" s="1"/>
  <c r="K33" i="6" s="1"/>
  <c r="I30" i="6"/>
  <c r="I31" i="6" s="1"/>
  <c r="I33" i="6" s="1"/>
  <c r="G31" i="6"/>
  <c r="G30" i="6"/>
  <c r="G33" i="6" s="1"/>
  <c r="AM24" i="6"/>
  <c r="AL24" i="6"/>
  <c r="AM23" i="6"/>
  <c r="AL23" i="6"/>
  <c r="AM20" i="6"/>
  <c r="AL20" i="6"/>
  <c r="AM19" i="6"/>
  <c r="AL19" i="6"/>
  <c r="AM18" i="6"/>
  <c r="AL18" i="6"/>
  <c r="AM17" i="6"/>
  <c r="AL17" i="6"/>
  <c r="AM14" i="6"/>
  <c r="AL14" i="6"/>
  <c r="AM13" i="6"/>
  <c r="AL13" i="6"/>
  <c r="AM12" i="6"/>
  <c r="AL12" i="6"/>
  <c r="AM11" i="6"/>
  <c r="AL11" i="6"/>
  <c r="AM10" i="6"/>
  <c r="AL10" i="6"/>
  <c r="AM9" i="6"/>
  <c r="AL9" i="6"/>
  <c r="AM8" i="6"/>
  <c r="AL8" i="6"/>
  <c r="Z24" i="6"/>
  <c r="Y24" i="6"/>
  <c r="Z23" i="6"/>
  <c r="Y23" i="6"/>
  <c r="Z20" i="6"/>
  <c r="Y20" i="6"/>
  <c r="Z19" i="6"/>
  <c r="Y19" i="6"/>
  <c r="Z18" i="6"/>
  <c r="Y18" i="6"/>
  <c r="Z17" i="6"/>
  <c r="Y17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M24" i="6"/>
  <c r="L24" i="6"/>
  <c r="M20" i="6"/>
  <c r="L20" i="6"/>
  <c r="M14" i="6"/>
  <c r="L14" i="6"/>
  <c r="M13" i="6"/>
  <c r="L13" i="6"/>
  <c r="M23" i="6"/>
  <c r="L23" i="6"/>
  <c r="M19" i="6"/>
  <c r="L19" i="6"/>
  <c r="M18" i="6"/>
  <c r="L18" i="6"/>
  <c r="M17" i="6"/>
  <c r="L17" i="6"/>
  <c r="M12" i="6"/>
  <c r="L12" i="6"/>
  <c r="M11" i="6"/>
  <c r="L11" i="6"/>
  <c r="M10" i="6"/>
  <c r="L10" i="6"/>
  <c r="M9" i="6"/>
  <c r="L9" i="6"/>
  <c r="M8" i="6"/>
  <c r="L8" i="6"/>
  <c r="I29" i="5"/>
  <c r="G29" i="5"/>
  <c r="E29" i="5"/>
  <c r="E25" i="5"/>
  <c r="I25" i="5"/>
  <c r="I26" i="5" s="1"/>
  <c r="G27" i="5"/>
  <c r="G26" i="5"/>
  <c r="G25" i="5"/>
  <c r="AL19" i="5"/>
  <c r="AK19" i="5"/>
  <c r="Y19" i="5"/>
  <c r="X19" i="5"/>
  <c r="L19" i="5"/>
  <c r="K19" i="5"/>
  <c r="L16" i="5"/>
  <c r="K16" i="5"/>
  <c r="Y16" i="5"/>
  <c r="X16" i="5"/>
  <c r="AL16" i="5"/>
  <c r="AK16" i="5"/>
  <c r="AL15" i="5"/>
  <c r="AK15" i="5"/>
  <c r="AL14" i="5"/>
  <c r="AK14" i="5"/>
  <c r="Y15" i="5"/>
  <c r="X15" i="5"/>
  <c r="Y14" i="5"/>
  <c r="X14" i="5"/>
  <c r="L15" i="5"/>
  <c r="K15" i="5"/>
  <c r="L14" i="5"/>
  <c r="K14" i="5"/>
  <c r="AL11" i="5"/>
  <c r="AK11" i="5"/>
  <c r="AL10" i="5"/>
  <c r="AK10" i="5"/>
  <c r="AL9" i="5"/>
  <c r="AK9" i="5"/>
  <c r="AL8" i="5"/>
  <c r="AK8" i="5"/>
  <c r="AL7" i="5"/>
  <c r="AK7" i="5"/>
  <c r="Y11" i="5"/>
  <c r="X11" i="5"/>
  <c r="Y10" i="5"/>
  <c r="X10" i="5"/>
  <c r="Y9" i="5"/>
  <c r="X9" i="5"/>
  <c r="Y8" i="5"/>
  <c r="X8" i="5"/>
  <c r="Y7" i="5"/>
  <c r="X7" i="5"/>
  <c r="L11" i="5"/>
  <c r="K11" i="5"/>
  <c r="L9" i="5"/>
  <c r="L10" i="5"/>
  <c r="K9" i="5"/>
  <c r="K10" i="5"/>
  <c r="L8" i="5"/>
  <c r="K8" i="5"/>
  <c r="L7" i="5"/>
  <c r="K7" i="5"/>
  <c r="X34" i="4"/>
  <c r="X33" i="4"/>
  <c r="X28" i="4"/>
  <c r="X27" i="4"/>
  <c r="X26" i="4"/>
  <c r="X25" i="4"/>
  <c r="X20" i="4"/>
  <c r="X19" i="4"/>
  <c r="X18" i="4"/>
  <c r="X17" i="4"/>
  <c r="X16" i="4"/>
  <c r="X15" i="4"/>
  <c r="X10" i="4"/>
  <c r="X9" i="4"/>
  <c r="X8" i="4"/>
  <c r="X7" i="4"/>
  <c r="X6" i="4"/>
  <c r="X5" i="4"/>
  <c r="O34" i="4"/>
  <c r="O33" i="4"/>
  <c r="O28" i="4"/>
  <c r="O27" i="4"/>
  <c r="O26" i="4"/>
  <c r="O25" i="4"/>
  <c r="O20" i="4"/>
  <c r="O19" i="4"/>
  <c r="O18" i="4"/>
  <c r="O17" i="4"/>
  <c r="O16" i="4"/>
  <c r="O15" i="4"/>
  <c r="O10" i="4"/>
  <c r="O9" i="4"/>
  <c r="O8" i="4"/>
  <c r="O7" i="4"/>
  <c r="O6" i="4"/>
  <c r="O5" i="4"/>
  <c r="F34" i="4"/>
  <c r="F33" i="4"/>
  <c r="F28" i="4"/>
  <c r="F27" i="4"/>
  <c r="F26" i="4"/>
  <c r="F25" i="4"/>
  <c r="F16" i="4"/>
  <c r="F17" i="4"/>
  <c r="F18" i="4"/>
  <c r="F19" i="4"/>
  <c r="F20" i="4"/>
  <c r="F15" i="4"/>
  <c r="F6" i="4"/>
  <c r="F7" i="4"/>
  <c r="F8" i="4"/>
  <c r="F9" i="4"/>
  <c r="F10" i="4"/>
  <c r="F5" i="4"/>
  <c r="W52" i="3"/>
  <c r="W51" i="3"/>
  <c r="W50" i="3"/>
  <c r="W49" i="3"/>
  <c r="W48" i="3"/>
  <c r="W47" i="3"/>
  <c r="W46" i="3"/>
  <c r="W39" i="3"/>
  <c r="W40" i="3"/>
  <c r="W41" i="3"/>
  <c r="W38" i="3"/>
  <c r="W37" i="3"/>
  <c r="W36" i="3"/>
  <c r="W35" i="3"/>
  <c r="W34" i="3"/>
  <c r="W33" i="3"/>
  <c r="W26" i="3"/>
  <c r="W27" i="3"/>
  <c r="W28" i="3"/>
  <c r="W25" i="3"/>
  <c r="W24" i="3"/>
  <c r="W23" i="3"/>
  <c r="W22" i="3"/>
  <c r="W21" i="3"/>
  <c r="W20" i="3"/>
  <c r="W19" i="3"/>
  <c r="W18" i="3"/>
  <c r="W11" i="3"/>
  <c r="W12" i="3"/>
  <c r="W10" i="3"/>
  <c r="W9" i="3"/>
  <c r="W8" i="3"/>
  <c r="W7" i="3"/>
  <c r="W6" i="3"/>
  <c r="W5" i="3"/>
  <c r="W4" i="3"/>
  <c r="N43" i="3"/>
  <c r="N59" i="3"/>
  <c r="N58" i="3"/>
  <c r="N57" i="3"/>
  <c r="N56" i="3"/>
  <c r="N55" i="3"/>
  <c r="N54" i="3"/>
  <c r="N53" i="3"/>
  <c r="N52" i="3"/>
  <c r="N51" i="3"/>
  <c r="N50" i="3"/>
  <c r="N49" i="3"/>
  <c r="N44" i="3"/>
  <c r="N42" i="3"/>
  <c r="N41" i="3"/>
  <c r="N40" i="3"/>
  <c r="N39" i="3"/>
  <c r="N38" i="3"/>
  <c r="N37" i="3"/>
  <c r="N36" i="3"/>
  <c r="N35" i="3"/>
  <c r="N34" i="3"/>
  <c r="N33" i="3"/>
  <c r="N12" i="3"/>
  <c r="N28" i="3"/>
  <c r="N27" i="3"/>
  <c r="N26" i="3"/>
  <c r="N25" i="3"/>
  <c r="N24" i="3"/>
  <c r="N23" i="3"/>
  <c r="N22" i="3"/>
  <c r="N21" i="3"/>
  <c r="N20" i="3"/>
  <c r="N19" i="3"/>
  <c r="N18" i="3"/>
  <c r="N11" i="3"/>
  <c r="N13" i="3"/>
  <c r="N10" i="3"/>
  <c r="N9" i="3"/>
  <c r="N8" i="3"/>
  <c r="N7" i="3"/>
  <c r="N6" i="3"/>
  <c r="N5" i="3"/>
  <c r="N4" i="3"/>
  <c r="E51" i="3"/>
  <c r="E52" i="3"/>
  <c r="E50" i="3"/>
  <c r="E47" i="3"/>
  <c r="E37" i="3"/>
  <c r="E9" i="3"/>
  <c r="E49" i="3"/>
  <c r="E48" i="3"/>
  <c r="E46" i="3"/>
  <c r="E45" i="3"/>
  <c r="E44" i="3"/>
  <c r="E39" i="3"/>
  <c r="E38" i="3"/>
  <c r="E36" i="3"/>
  <c r="E35" i="3"/>
  <c r="E34" i="3"/>
  <c r="E33" i="3"/>
  <c r="E32" i="3"/>
  <c r="E31" i="3"/>
  <c r="E30" i="3"/>
  <c r="E25" i="3"/>
  <c r="E24" i="3"/>
  <c r="E23" i="3"/>
  <c r="E22" i="3"/>
  <c r="E21" i="3"/>
  <c r="E20" i="3"/>
  <c r="E19" i="3"/>
  <c r="E18" i="3"/>
  <c r="E17" i="3"/>
  <c r="E16" i="3"/>
  <c r="E15" i="3"/>
  <c r="E10" i="3"/>
  <c r="E8" i="3"/>
  <c r="E7" i="3"/>
  <c r="E6" i="3"/>
  <c r="E5" i="3"/>
  <c r="E4" i="3"/>
  <c r="E49" i="2"/>
  <c r="E50" i="2"/>
  <c r="E51" i="2"/>
  <c r="E52" i="2"/>
  <c r="E53" i="2"/>
  <c r="E48" i="2"/>
  <c r="E43" i="2"/>
  <c r="E42" i="2"/>
  <c r="E41" i="2"/>
  <c r="E40" i="2"/>
  <c r="E39" i="2"/>
  <c r="E38" i="2"/>
  <c r="E37" i="2"/>
  <c r="E36" i="2"/>
  <c r="E35" i="2"/>
  <c r="E34" i="2"/>
  <c r="E33" i="2"/>
  <c r="E27" i="2"/>
  <c r="E26" i="2"/>
  <c r="E25" i="2"/>
  <c r="E24" i="2"/>
  <c r="E28" i="2"/>
  <c r="E19" i="2"/>
  <c r="E20" i="2"/>
  <c r="E21" i="2"/>
  <c r="E22" i="2"/>
  <c r="E23" i="2"/>
  <c r="E18" i="2"/>
  <c r="E9" i="2"/>
  <c r="E11" i="2"/>
  <c r="E10" i="2"/>
  <c r="E12" i="2"/>
  <c r="E13" i="2"/>
  <c r="E6" i="2"/>
  <c r="E7" i="2"/>
  <c r="E8" i="2"/>
  <c r="E5" i="2"/>
  <c r="E4" i="2"/>
  <c r="Q73" i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  <c r="I34" i="6" l="1"/>
  <c r="K34" i="6"/>
  <c r="G34" i="6"/>
  <c r="G32" i="6"/>
  <c r="G35" i="6" s="1"/>
  <c r="I32" i="6"/>
  <c r="I35" i="6" s="1"/>
  <c r="K32" i="6"/>
  <c r="K35" i="6" s="1"/>
  <c r="G28" i="5"/>
  <c r="E27" i="5"/>
  <c r="E28" i="5" s="1"/>
  <c r="E26" i="5"/>
  <c r="I27" i="5"/>
  <c r="I28" i="5" s="1"/>
  <c r="A11" i="5"/>
  <c r="A15" i="5"/>
  <c r="A19" i="5"/>
</calcChain>
</file>

<file path=xl/sharedStrings.xml><?xml version="1.0" encoding="utf-8"?>
<sst xmlns="http://schemas.openxmlformats.org/spreadsheetml/2006/main" count="623" uniqueCount="49">
  <si>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</si>
  <si>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</si>
  <si>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</si>
  <si>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</si>
  <si>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</si>
  <si>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</si>
  <si>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</si>
  <si>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</si>
  <si>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</si>
  <si>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</si>
  <si>
    <t>Seed</t>
  </si>
  <si>
    <t xml:space="preserve">N pulled </t>
  </si>
  <si>
    <t xml:space="preserve">N train </t>
  </si>
  <si>
    <t xml:space="preserve">Time </t>
  </si>
  <si>
    <t xml:space="preserve">Black 1 </t>
  </si>
  <si>
    <t xml:space="preserve">Black 2 </t>
  </si>
  <si>
    <t>Note that for these tests, #fig.show for ease</t>
  </si>
  <si>
    <t>Grey 2</t>
  </si>
  <si>
    <t>Grey  1</t>
  </si>
  <si>
    <t xml:space="preserve">Grey 2 </t>
  </si>
  <si>
    <t xml:space="preserve">Grey 1 </t>
  </si>
  <si>
    <t xml:space="preserve">strip % </t>
  </si>
  <si>
    <t xml:space="preserve">ntr </t>
  </si>
  <si>
    <t xml:space="preserve">time </t>
  </si>
  <si>
    <t xml:space="preserve">seed </t>
  </si>
  <si>
    <t xml:space="preserve">plot and gpu turned off </t>
  </si>
  <si>
    <t>Seed 12</t>
  </si>
  <si>
    <t xml:space="preserve">NMSE 1 </t>
  </si>
  <si>
    <t>NMSE 2</t>
  </si>
  <si>
    <t xml:space="preserve">NMSE 3 </t>
  </si>
  <si>
    <t>Black-1</t>
  </si>
  <si>
    <t xml:space="preserve">Black-1 </t>
  </si>
  <si>
    <t>time 1</t>
  </si>
  <si>
    <t xml:space="preserve">time 2 </t>
  </si>
  <si>
    <t xml:space="preserve">time 3 </t>
  </si>
  <si>
    <t>NMSE ave</t>
  </si>
  <si>
    <t xml:space="preserve">t ave </t>
  </si>
  <si>
    <t>Seed 897</t>
  </si>
  <si>
    <t>Seed 222</t>
  </si>
  <si>
    <t>t ave ultra</t>
  </si>
  <si>
    <t>Grey-1</t>
  </si>
  <si>
    <t>Grey-2</t>
  </si>
  <si>
    <t xml:space="preserve">   </t>
  </si>
  <si>
    <t xml:space="preserve">t (sec </t>
  </si>
  <si>
    <t xml:space="preserve">t (hours) </t>
  </si>
  <si>
    <t xml:space="preserve">CO2 </t>
  </si>
  <si>
    <t>E(ram)</t>
  </si>
  <si>
    <t>E(cpu)</t>
  </si>
  <si>
    <t xml:space="preserve">E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</si>
</sst>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/>
    <xf numFmtId="0" fontId="2" fillId="2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workbookViewId="0">
      <selection activeCell="E49" sqref="E49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 t="shared" ref="Q5:Q12" si="0"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 t="shared" si="0"/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1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si="0"/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1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0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1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0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1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0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1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0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1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si="0"/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2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3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2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3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2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3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2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3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2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3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2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3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2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3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2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3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3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>100-P27</f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3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3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3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>100-P33</f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3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>100-P34</f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3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3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3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3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>100-P41</f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>100-P42</f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 t="shared" ref="Q43:Q49" si="4"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 t="shared" si="4"/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 t="shared" si="4"/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 t="shared" si="4"/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 t="shared" si="4"/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 t="shared" si="4"/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 t="shared" si="4"/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5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5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5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5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5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5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5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5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5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 t="shared" ref="Q68:Q75" si="6"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 t="shared" si="6"/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 t="shared" si="6"/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si="6"/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6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6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6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6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CC28-49AB-4816-9D44-16BAEE3812B1}">
  <dimension ref="B1:G53"/>
  <sheetViews>
    <sheetView workbookViewId="0">
      <selection activeCell="M31" sqref="M31"/>
    </sheetView>
  </sheetViews>
  <sheetFormatPr defaultRowHeight="15" x14ac:dyDescent="0.25"/>
  <cols>
    <col min="6" max="6" width="17.85546875" customWidth="1"/>
    <col min="7" max="7" width="17.42578125" customWidth="1"/>
  </cols>
  <sheetData>
    <row r="1" spans="2:7" x14ac:dyDescent="0.25">
      <c r="B1" t="s">
        <v>16</v>
      </c>
    </row>
    <row r="3" spans="2:7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</row>
    <row r="4" spans="2:7" x14ac:dyDescent="0.25">
      <c r="B4" t="s">
        <v>14</v>
      </c>
      <c r="C4">
        <v>21</v>
      </c>
      <c r="D4">
        <v>20</v>
      </c>
      <c r="E4">
        <f>100-D4</f>
        <v>80</v>
      </c>
      <c r="F4">
        <v>2.2910490000000001</v>
      </c>
      <c r="G4">
        <v>0.66784620677329598</v>
      </c>
    </row>
    <row r="5" spans="2:7" x14ac:dyDescent="0.25">
      <c r="B5" t="s">
        <v>14</v>
      </c>
      <c r="C5">
        <v>21</v>
      </c>
      <c r="D5">
        <v>30</v>
      </c>
      <c r="E5">
        <f>100-D5</f>
        <v>70</v>
      </c>
      <c r="F5">
        <v>2.3217240000000001</v>
      </c>
      <c r="G5">
        <v>0.70853928775367303</v>
      </c>
    </row>
    <row r="6" spans="2:7" x14ac:dyDescent="0.25">
      <c r="B6" t="s">
        <v>14</v>
      </c>
      <c r="C6">
        <v>21</v>
      </c>
      <c r="D6">
        <v>40</v>
      </c>
      <c r="E6">
        <f t="shared" ref="E6:E13" si="0">100-D6</f>
        <v>60</v>
      </c>
      <c r="F6">
        <v>2.2668650000000001</v>
      </c>
      <c r="G6">
        <v>1.25443899017931</v>
      </c>
    </row>
    <row r="7" spans="2:7" x14ac:dyDescent="0.25">
      <c r="B7" t="s">
        <v>14</v>
      </c>
      <c r="C7">
        <v>21</v>
      </c>
      <c r="D7">
        <v>50</v>
      </c>
      <c r="E7">
        <f t="shared" si="0"/>
        <v>50</v>
      </c>
      <c r="F7">
        <v>2.4100090000000001</v>
      </c>
      <c r="G7">
        <v>2.8569256294800001</v>
      </c>
    </row>
    <row r="8" spans="2:7" x14ac:dyDescent="0.25">
      <c r="B8" t="s">
        <v>14</v>
      </c>
      <c r="C8">
        <v>21</v>
      </c>
      <c r="D8">
        <v>60</v>
      </c>
      <c r="E8">
        <f t="shared" si="0"/>
        <v>40</v>
      </c>
      <c r="F8">
        <v>2.1210339999999999</v>
      </c>
      <c r="G8">
        <v>2.8941255894790898</v>
      </c>
    </row>
    <row r="9" spans="2:7" x14ac:dyDescent="0.25">
      <c r="B9" t="s">
        <v>14</v>
      </c>
      <c r="C9">
        <v>21</v>
      </c>
      <c r="D9">
        <v>61</v>
      </c>
      <c r="E9">
        <f t="shared" si="0"/>
        <v>39</v>
      </c>
      <c r="F9">
        <v>2.1560139999999999</v>
      </c>
      <c r="G9">
        <v>2.7754621558369199</v>
      </c>
    </row>
    <row r="10" spans="2:7" x14ac:dyDescent="0.25">
      <c r="B10" s="1" t="s">
        <v>14</v>
      </c>
      <c r="C10" s="1">
        <v>21</v>
      </c>
      <c r="D10" s="1">
        <v>62</v>
      </c>
      <c r="E10" s="1">
        <f t="shared" si="0"/>
        <v>38</v>
      </c>
      <c r="F10" s="1">
        <v>2.195262</v>
      </c>
      <c r="G10" s="1">
        <v>2.8984338375273699</v>
      </c>
    </row>
    <row r="11" spans="2:7" x14ac:dyDescent="0.25">
      <c r="B11" t="s">
        <v>14</v>
      </c>
      <c r="C11">
        <v>21</v>
      </c>
      <c r="D11">
        <v>63</v>
      </c>
      <c r="E11">
        <f t="shared" si="0"/>
        <v>37</v>
      </c>
      <c r="F11">
        <v>2.1664560000000002</v>
      </c>
      <c r="G11">
        <v>46.634121019323601</v>
      </c>
    </row>
    <row r="12" spans="2:7" x14ac:dyDescent="0.25">
      <c r="B12" t="s">
        <v>14</v>
      </c>
      <c r="C12">
        <v>21</v>
      </c>
      <c r="D12">
        <v>65</v>
      </c>
      <c r="E12">
        <f t="shared" si="0"/>
        <v>35</v>
      </c>
      <c r="F12">
        <v>2.076549</v>
      </c>
      <c r="G12">
        <v>44.095541417979597</v>
      </c>
    </row>
    <row r="13" spans="2:7" x14ac:dyDescent="0.25">
      <c r="B13" t="s">
        <v>14</v>
      </c>
      <c r="C13">
        <v>21</v>
      </c>
      <c r="D13">
        <v>70</v>
      </c>
      <c r="E13">
        <f t="shared" si="0"/>
        <v>30</v>
      </c>
      <c r="F13">
        <v>2.1409410000000002</v>
      </c>
      <c r="G13">
        <v>10.542290085167799</v>
      </c>
    </row>
    <row r="17" spans="2:7" x14ac:dyDescent="0.25">
      <c r="B17" t="s">
        <v>4</v>
      </c>
      <c r="C17" t="s">
        <v>10</v>
      </c>
      <c r="D17" t="s">
        <v>11</v>
      </c>
      <c r="E17" t="s">
        <v>12</v>
      </c>
      <c r="F17" t="s">
        <v>13</v>
      </c>
      <c r="G17" t="s">
        <v>3</v>
      </c>
    </row>
    <row r="18" spans="2:7" x14ac:dyDescent="0.25">
      <c r="B18" t="s">
        <v>15</v>
      </c>
      <c r="C18">
        <v>21</v>
      </c>
      <c r="D18">
        <v>20</v>
      </c>
      <c r="E18">
        <f>100-D18</f>
        <v>80</v>
      </c>
      <c r="F18">
        <v>2.4053390000000001</v>
      </c>
      <c r="G18">
        <v>0.52830822500687202</v>
      </c>
    </row>
    <row r="19" spans="2:7" x14ac:dyDescent="0.25">
      <c r="B19" t="s">
        <v>15</v>
      </c>
      <c r="C19">
        <v>21</v>
      </c>
      <c r="D19">
        <v>30</v>
      </c>
      <c r="E19">
        <f t="shared" ref="E19:E28" si="1">100-D19</f>
        <v>70</v>
      </c>
      <c r="F19">
        <v>2.434723</v>
      </c>
      <c r="G19">
        <v>0.62709127986581303</v>
      </c>
    </row>
    <row r="20" spans="2:7" x14ac:dyDescent="0.25">
      <c r="B20" t="s">
        <v>15</v>
      </c>
      <c r="C20">
        <v>21</v>
      </c>
      <c r="D20">
        <v>40</v>
      </c>
      <c r="E20">
        <f t="shared" si="1"/>
        <v>60</v>
      </c>
      <c r="F20">
        <v>2.362838</v>
      </c>
      <c r="G20">
        <v>0.86021845755637205</v>
      </c>
    </row>
    <row r="21" spans="2:7" x14ac:dyDescent="0.25">
      <c r="B21" t="s">
        <v>15</v>
      </c>
      <c r="C21">
        <v>21</v>
      </c>
      <c r="D21">
        <v>50</v>
      </c>
      <c r="E21">
        <f t="shared" si="1"/>
        <v>50</v>
      </c>
      <c r="F21">
        <v>2.2612510000000001</v>
      </c>
      <c r="G21">
        <v>1.93820743014956</v>
      </c>
    </row>
    <row r="22" spans="2:7" x14ac:dyDescent="0.25">
      <c r="B22" t="s">
        <v>15</v>
      </c>
      <c r="C22">
        <v>21</v>
      </c>
      <c r="D22">
        <v>60</v>
      </c>
      <c r="E22">
        <f t="shared" si="1"/>
        <v>40</v>
      </c>
      <c r="F22">
        <v>2.3081360000000002</v>
      </c>
      <c r="G22">
        <v>2.7100245135262502</v>
      </c>
    </row>
    <row r="23" spans="2:7" x14ac:dyDescent="0.25">
      <c r="B23" t="s">
        <v>15</v>
      </c>
      <c r="C23">
        <v>21</v>
      </c>
      <c r="D23">
        <v>70</v>
      </c>
      <c r="E23">
        <f t="shared" si="1"/>
        <v>30</v>
      </c>
      <c r="F23">
        <v>2.3968660000000002</v>
      </c>
      <c r="G23">
        <v>4.5368769845748096</v>
      </c>
    </row>
    <row r="24" spans="2:7" x14ac:dyDescent="0.25">
      <c r="B24" t="s">
        <v>15</v>
      </c>
      <c r="C24">
        <v>21</v>
      </c>
      <c r="D24">
        <v>75</v>
      </c>
      <c r="E24">
        <f t="shared" si="1"/>
        <v>25</v>
      </c>
      <c r="F24">
        <v>2.4383810000000001</v>
      </c>
      <c r="G24">
        <v>6.0650529803933599</v>
      </c>
    </row>
    <row r="25" spans="2:7" x14ac:dyDescent="0.25">
      <c r="B25" t="s">
        <v>15</v>
      </c>
      <c r="C25">
        <v>21</v>
      </c>
      <c r="D25">
        <v>77</v>
      </c>
      <c r="E25">
        <f t="shared" si="1"/>
        <v>23</v>
      </c>
      <c r="F25">
        <v>2.4409380000000001</v>
      </c>
      <c r="G25">
        <v>6.4974052559889</v>
      </c>
    </row>
    <row r="26" spans="2:7" x14ac:dyDescent="0.25">
      <c r="B26" t="s">
        <v>15</v>
      </c>
      <c r="C26">
        <v>21</v>
      </c>
      <c r="D26">
        <v>78</v>
      </c>
      <c r="E26">
        <f t="shared" si="1"/>
        <v>22</v>
      </c>
      <c r="F26">
        <v>2.1784599999999998</v>
      </c>
      <c r="G26">
        <v>6.22184515214418</v>
      </c>
    </row>
    <row r="27" spans="2:7" x14ac:dyDescent="0.25">
      <c r="B27" s="1" t="s">
        <v>15</v>
      </c>
      <c r="C27" s="1">
        <v>21</v>
      </c>
      <c r="D27" s="1">
        <v>79</v>
      </c>
      <c r="E27" s="1">
        <f t="shared" si="1"/>
        <v>21</v>
      </c>
      <c r="F27" s="1">
        <v>2.1987040000000002</v>
      </c>
      <c r="G27" s="1">
        <v>9.2652499971129298</v>
      </c>
    </row>
    <row r="28" spans="2:7" x14ac:dyDescent="0.25">
      <c r="B28" t="s">
        <v>15</v>
      </c>
      <c r="C28">
        <v>21</v>
      </c>
      <c r="D28">
        <v>80</v>
      </c>
      <c r="E28">
        <f t="shared" si="1"/>
        <v>20</v>
      </c>
      <c r="F28">
        <v>2.2487200000000001</v>
      </c>
      <c r="G28">
        <v>29.8300969934748</v>
      </c>
    </row>
    <row r="32" spans="2:7" x14ac:dyDescent="0.25">
      <c r="B32" t="s">
        <v>4</v>
      </c>
      <c r="C32" t="s">
        <v>10</v>
      </c>
      <c r="D32" t="s">
        <v>11</v>
      </c>
      <c r="E32" t="s">
        <v>12</v>
      </c>
      <c r="F32" t="s">
        <v>13</v>
      </c>
      <c r="G32" t="s">
        <v>3</v>
      </c>
    </row>
    <row r="33" spans="2:7" x14ac:dyDescent="0.25">
      <c r="B33" t="s">
        <v>18</v>
      </c>
      <c r="C33">
        <v>21</v>
      </c>
      <c r="D33">
        <v>20</v>
      </c>
      <c r="E33">
        <f>100-D33</f>
        <v>80</v>
      </c>
      <c r="F33">
        <v>4.7831489999999999</v>
      </c>
      <c r="G33">
        <v>0.99760904681600104</v>
      </c>
    </row>
    <row r="34" spans="2:7" x14ac:dyDescent="0.25">
      <c r="B34" t="s">
        <v>18</v>
      </c>
      <c r="C34">
        <v>21</v>
      </c>
      <c r="D34">
        <v>30</v>
      </c>
      <c r="E34">
        <f>100-D34</f>
        <v>70</v>
      </c>
      <c r="F34">
        <v>4.5763590000000001</v>
      </c>
      <c r="G34">
        <v>1.0065346515301701</v>
      </c>
    </row>
    <row r="35" spans="2:7" x14ac:dyDescent="0.25">
      <c r="B35" t="s">
        <v>18</v>
      </c>
      <c r="C35">
        <v>21</v>
      </c>
      <c r="D35">
        <v>40</v>
      </c>
      <c r="E35">
        <f>100-D35</f>
        <v>60</v>
      </c>
      <c r="F35">
        <v>5.4477669999999998</v>
      </c>
      <c r="G35">
        <v>0.89126402988916698</v>
      </c>
    </row>
    <row r="36" spans="2:7" x14ac:dyDescent="0.25">
      <c r="B36" t="s">
        <v>18</v>
      </c>
      <c r="C36">
        <v>21</v>
      </c>
      <c r="D36">
        <v>50</v>
      </c>
      <c r="E36">
        <f>100-D36</f>
        <v>50</v>
      </c>
      <c r="F36">
        <v>5.7633320000000001</v>
      </c>
      <c r="G36">
        <v>2.37809584047148</v>
      </c>
    </row>
    <row r="37" spans="2:7" x14ac:dyDescent="0.25">
      <c r="B37" t="s">
        <v>18</v>
      </c>
      <c r="C37">
        <v>21</v>
      </c>
      <c r="D37">
        <v>60</v>
      </c>
      <c r="E37">
        <f t="shared" ref="E37:E43" si="2">100-D37</f>
        <v>40</v>
      </c>
      <c r="F37">
        <v>5.2267419999999998</v>
      </c>
      <c r="G37">
        <v>3.1265392961331799</v>
      </c>
    </row>
    <row r="38" spans="2:7" x14ac:dyDescent="0.25">
      <c r="B38" t="s">
        <v>18</v>
      </c>
      <c r="C38">
        <v>21</v>
      </c>
      <c r="D38">
        <v>70</v>
      </c>
      <c r="E38">
        <f t="shared" si="2"/>
        <v>30</v>
      </c>
      <c r="F38">
        <v>5.1972909999999999</v>
      </c>
      <c r="G38">
        <v>6.1579006351889296</v>
      </c>
    </row>
    <row r="39" spans="2:7" x14ac:dyDescent="0.25">
      <c r="B39" t="s">
        <v>18</v>
      </c>
      <c r="C39">
        <v>21</v>
      </c>
      <c r="D39">
        <v>75</v>
      </c>
      <c r="E39">
        <f t="shared" si="2"/>
        <v>25</v>
      </c>
      <c r="F39">
        <v>5.1765559999999997</v>
      </c>
      <c r="G39">
        <v>7.2529884583681898</v>
      </c>
    </row>
    <row r="40" spans="2:7" x14ac:dyDescent="0.25">
      <c r="B40" t="s">
        <v>18</v>
      </c>
      <c r="C40">
        <v>21</v>
      </c>
      <c r="D40">
        <v>77</v>
      </c>
      <c r="E40">
        <f t="shared" si="2"/>
        <v>23</v>
      </c>
      <c r="F40">
        <v>5.114509</v>
      </c>
      <c r="G40">
        <v>9.0335425073431601</v>
      </c>
    </row>
    <row r="41" spans="2:7" x14ac:dyDescent="0.25">
      <c r="B41" s="1" t="s">
        <v>18</v>
      </c>
      <c r="C41" s="1">
        <v>21</v>
      </c>
      <c r="D41" s="1">
        <v>78</v>
      </c>
      <c r="E41" s="1">
        <f t="shared" si="2"/>
        <v>22</v>
      </c>
      <c r="F41" s="1">
        <v>5.1010059999999999</v>
      </c>
      <c r="G41" s="1">
        <v>9.8253601474948091</v>
      </c>
    </row>
    <row r="42" spans="2:7" x14ac:dyDescent="0.25">
      <c r="B42" t="s">
        <v>18</v>
      </c>
      <c r="C42">
        <v>21</v>
      </c>
      <c r="D42">
        <v>79</v>
      </c>
      <c r="E42">
        <f t="shared" si="2"/>
        <v>21</v>
      </c>
      <c r="F42">
        <v>5.1766870000000003</v>
      </c>
      <c r="G42">
        <v>10.549883055164599</v>
      </c>
    </row>
    <row r="43" spans="2:7" x14ac:dyDescent="0.25">
      <c r="B43" t="s">
        <v>18</v>
      </c>
      <c r="C43">
        <v>21</v>
      </c>
      <c r="D43">
        <v>80</v>
      </c>
      <c r="E43">
        <f t="shared" si="2"/>
        <v>20</v>
      </c>
      <c r="F43">
        <v>5.0735060000000001</v>
      </c>
      <c r="G43">
        <v>14.3199733172543</v>
      </c>
    </row>
    <row r="47" spans="2:7" x14ac:dyDescent="0.25">
      <c r="B47" t="s">
        <v>4</v>
      </c>
      <c r="C47" t="s">
        <v>10</v>
      </c>
      <c r="D47" t="s">
        <v>11</v>
      </c>
      <c r="E47" t="s">
        <v>12</v>
      </c>
      <c r="F47" t="s">
        <v>13</v>
      </c>
      <c r="G47" t="s">
        <v>3</v>
      </c>
    </row>
    <row r="48" spans="2:7" x14ac:dyDescent="0.25">
      <c r="B48" t="s">
        <v>19</v>
      </c>
      <c r="C48">
        <v>21</v>
      </c>
      <c r="D48">
        <v>20</v>
      </c>
      <c r="E48">
        <f t="shared" ref="E48:E53" si="3">100-D48</f>
        <v>80</v>
      </c>
      <c r="F48">
        <v>3.462399</v>
      </c>
      <c r="G48">
        <v>1.1302268228424199</v>
      </c>
    </row>
    <row r="49" spans="4:7" x14ac:dyDescent="0.25">
      <c r="D49">
        <v>30</v>
      </c>
      <c r="E49">
        <f t="shared" si="3"/>
        <v>70</v>
      </c>
      <c r="F49">
        <v>3.419816</v>
      </c>
      <c r="G49">
        <v>1.27988138200882</v>
      </c>
    </row>
    <row r="50" spans="4:7" x14ac:dyDescent="0.25">
      <c r="D50">
        <v>40</v>
      </c>
      <c r="E50">
        <f t="shared" si="3"/>
        <v>60</v>
      </c>
      <c r="F50">
        <v>3.5066389999999998</v>
      </c>
      <c r="G50">
        <v>1.1395179678534499</v>
      </c>
    </row>
    <row r="51" spans="4:7" x14ac:dyDescent="0.25">
      <c r="D51">
        <v>50</v>
      </c>
      <c r="E51">
        <f t="shared" si="3"/>
        <v>50</v>
      </c>
      <c r="F51">
        <v>3.2713909999999999</v>
      </c>
      <c r="G51">
        <v>2.3931083798284098</v>
      </c>
    </row>
    <row r="52" spans="4:7" x14ac:dyDescent="0.25">
      <c r="D52">
        <v>60</v>
      </c>
      <c r="E52">
        <f t="shared" si="3"/>
        <v>40</v>
      </c>
    </row>
    <row r="53" spans="4:7" x14ac:dyDescent="0.25">
      <c r="E53">
        <f t="shared" si="3"/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5EB5-F9B5-4507-9399-F5CCD7ABE125}">
  <dimension ref="B1:Y59"/>
  <sheetViews>
    <sheetView workbookViewId="0">
      <selection activeCell="X51" sqref="X51"/>
    </sheetView>
  </sheetViews>
  <sheetFormatPr defaultRowHeight="15" x14ac:dyDescent="0.25"/>
  <sheetData>
    <row r="1" spans="2:25" x14ac:dyDescent="0.25">
      <c r="B1" t="s">
        <v>16</v>
      </c>
    </row>
    <row r="3" spans="2:25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  <c r="K3" t="s">
        <v>4</v>
      </c>
      <c r="L3" t="s">
        <v>10</v>
      </c>
      <c r="M3" t="s">
        <v>11</v>
      </c>
      <c r="N3" t="s">
        <v>12</v>
      </c>
      <c r="O3" t="s">
        <v>13</v>
      </c>
      <c r="P3" t="s">
        <v>3</v>
      </c>
      <c r="T3" t="s">
        <v>4</v>
      </c>
      <c r="U3" t="s">
        <v>10</v>
      </c>
      <c r="V3" t="s">
        <v>11</v>
      </c>
      <c r="W3" t="s">
        <v>12</v>
      </c>
      <c r="X3" t="s">
        <v>13</v>
      </c>
      <c r="Y3" t="s">
        <v>3</v>
      </c>
    </row>
    <row r="4" spans="2:25" x14ac:dyDescent="0.25">
      <c r="B4" t="s">
        <v>14</v>
      </c>
      <c r="C4">
        <v>21</v>
      </c>
      <c r="D4">
        <v>20</v>
      </c>
      <c r="E4">
        <f t="shared" ref="E4:E10" si="0">100-D4</f>
        <v>80</v>
      </c>
      <c r="F4">
        <v>2.4461200000000001</v>
      </c>
      <c r="G4">
        <v>0.63368795318416704</v>
      </c>
      <c r="K4" t="s">
        <v>14</v>
      </c>
      <c r="L4">
        <v>67</v>
      </c>
      <c r="M4">
        <v>20</v>
      </c>
      <c r="N4">
        <f>100-M4</f>
        <v>80</v>
      </c>
      <c r="O4">
        <v>2.7151329999999998</v>
      </c>
      <c r="P4">
        <v>0.49376685479841498</v>
      </c>
      <c r="T4" t="s">
        <v>14</v>
      </c>
      <c r="U4">
        <v>273</v>
      </c>
      <c r="V4">
        <v>20</v>
      </c>
      <c r="W4">
        <f>100-V4</f>
        <v>80</v>
      </c>
      <c r="X4">
        <v>2.3404889999999998</v>
      </c>
      <c r="Y4">
        <v>0.543547971063567</v>
      </c>
    </row>
    <row r="5" spans="2:25" x14ac:dyDescent="0.25">
      <c r="B5" t="s">
        <v>14</v>
      </c>
      <c r="C5">
        <v>21</v>
      </c>
      <c r="D5">
        <v>30</v>
      </c>
      <c r="E5">
        <f t="shared" si="0"/>
        <v>70</v>
      </c>
      <c r="F5">
        <v>2.291328</v>
      </c>
      <c r="G5">
        <v>0.71201907438757295</v>
      </c>
      <c r="K5" t="s">
        <v>14</v>
      </c>
      <c r="L5">
        <v>67</v>
      </c>
      <c r="M5">
        <v>30</v>
      </c>
      <c r="N5">
        <f>100-M5</f>
        <v>70</v>
      </c>
      <c r="O5">
        <v>2.3480889999999999</v>
      </c>
      <c r="P5">
        <v>0.78203022423883695</v>
      </c>
      <c r="T5" t="s">
        <v>14</v>
      </c>
      <c r="U5">
        <v>273</v>
      </c>
      <c r="V5">
        <v>30</v>
      </c>
      <c r="W5">
        <f>100-V5</f>
        <v>70</v>
      </c>
      <c r="X5">
        <v>2.3816139999999999</v>
      </c>
      <c r="Y5">
        <v>0.67529592411352901</v>
      </c>
    </row>
    <row r="6" spans="2:25" x14ac:dyDescent="0.25">
      <c r="B6" t="s">
        <v>14</v>
      </c>
      <c r="C6">
        <v>21</v>
      </c>
      <c r="D6">
        <v>40</v>
      </c>
      <c r="E6">
        <f t="shared" si="0"/>
        <v>60</v>
      </c>
      <c r="F6">
        <v>2.2570079999999999</v>
      </c>
      <c r="G6">
        <v>1.1888248275256701</v>
      </c>
      <c r="K6" t="s">
        <v>14</v>
      </c>
      <c r="L6">
        <v>67</v>
      </c>
      <c r="M6">
        <v>40</v>
      </c>
      <c r="N6">
        <f t="shared" ref="N6:N13" si="1">100-M6</f>
        <v>60</v>
      </c>
      <c r="O6">
        <v>2.2376480000000001</v>
      </c>
      <c r="P6">
        <v>0.61459446529834605</v>
      </c>
      <c r="T6" t="s">
        <v>14</v>
      </c>
      <c r="U6">
        <v>273</v>
      </c>
      <c r="V6">
        <v>40</v>
      </c>
      <c r="W6">
        <f t="shared" ref="W6:W12" si="2">100-V6</f>
        <v>60</v>
      </c>
      <c r="X6">
        <v>2.38795</v>
      </c>
      <c r="Y6">
        <v>0.73474851442276001</v>
      </c>
    </row>
    <row r="7" spans="2:25" x14ac:dyDescent="0.25">
      <c r="B7" t="s">
        <v>14</v>
      </c>
      <c r="C7">
        <v>21</v>
      </c>
      <c r="D7">
        <v>50</v>
      </c>
      <c r="E7">
        <f t="shared" si="0"/>
        <v>50</v>
      </c>
      <c r="F7">
        <v>2.2718600000000002</v>
      </c>
      <c r="G7">
        <v>2.7422201816044498</v>
      </c>
      <c r="K7" t="s">
        <v>14</v>
      </c>
      <c r="L7">
        <v>67</v>
      </c>
      <c r="M7">
        <v>50</v>
      </c>
      <c r="N7">
        <f t="shared" si="1"/>
        <v>50</v>
      </c>
      <c r="O7">
        <v>2.2148750000000001</v>
      </c>
      <c r="P7">
        <v>0.88125723277257495</v>
      </c>
      <c r="T7" t="s">
        <v>14</v>
      </c>
      <c r="U7">
        <v>273</v>
      </c>
      <c r="V7">
        <v>50</v>
      </c>
      <c r="W7">
        <f t="shared" si="2"/>
        <v>50</v>
      </c>
      <c r="X7">
        <v>2.3543590000000001</v>
      </c>
      <c r="Y7">
        <v>1.3456355519582099</v>
      </c>
    </row>
    <row r="8" spans="2:25" x14ac:dyDescent="0.25">
      <c r="B8" t="s">
        <v>14</v>
      </c>
      <c r="C8">
        <v>21</v>
      </c>
      <c r="D8">
        <v>60</v>
      </c>
      <c r="E8">
        <f t="shared" si="0"/>
        <v>40</v>
      </c>
      <c r="F8">
        <v>2.168139</v>
      </c>
      <c r="G8">
        <v>2.9688156610003098</v>
      </c>
      <c r="K8" t="s">
        <v>14</v>
      </c>
      <c r="L8">
        <v>67</v>
      </c>
      <c r="M8">
        <v>60</v>
      </c>
      <c r="N8">
        <f t="shared" si="1"/>
        <v>40</v>
      </c>
      <c r="O8">
        <v>2.2286570000000001</v>
      </c>
      <c r="P8">
        <v>1.8920866140442101</v>
      </c>
      <c r="T8" t="s">
        <v>14</v>
      </c>
      <c r="U8">
        <v>273</v>
      </c>
      <c r="V8">
        <v>60</v>
      </c>
      <c r="W8">
        <f t="shared" si="2"/>
        <v>40</v>
      </c>
      <c r="X8">
        <v>2.2706759999999999</v>
      </c>
      <c r="Y8">
        <v>3.9272264141657902</v>
      </c>
    </row>
    <row r="9" spans="2:25" x14ac:dyDescent="0.25">
      <c r="B9" s="1" t="s">
        <v>14</v>
      </c>
      <c r="C9" s="1">
        <v>21</v>
      </c>
      <c r="D9" s="1">
        <v>69</v>
      </c>
      <c r="E9" s="1">
        <f t="shared" si="0"/>
        <v>31</v>
      </c>
      <c r="F9" s="1">
        <v>2.4482300000000001</v>
      </c>
      <c r="G9" s="1">
        <v>9.9145202682726694</v>
      </c>
      <c r="K9" t="s">
        <v>14</v>
      </c>
      <c r="L9">
        <v>67</v>
      </c>
      <c r="M9">
        <v>70</v>
      </c>
      <c r="N9">
        <f t="shared" si="1"/>
        <v>30</v>
      </c>
      <c r="O9">
        <v>2.231684</v>
      </c>
      <c r="P9">
        <v>3.2622676807318798</v>
      </c>
      <c r="T9" t="s">
        <v>14</v>
      </c>
      <c r="U9">
        <v>273</v>
      </c>
      <c r="V9">
        <v>65</v>
      </c>
      <c r="W9">
        <f t="shared" si="2"/>
        <v>35</v>
      </c>
      <c r="X9">
        <v>2.0244870000000001</v>
      </c>
      <c r="Y9">
        <v>4.9272993209712803</v>
      </c>
    </row>
    <row r="10" spans="2:25" x14ac:dyDescent="0.25">
      <c r="B10" t="s">
        <v>14</v>
      </c>
      <c r="C10">
        <v>21</v>
      </c>
      <c r="D10">
        <v>70</v>
      </c>
      <c r="E10">
        <f t="shared" si="0"/>
        <v>30</v>
      </c>
      <c r="F10">
        <v>2.173753</v>
      </c>
      <c r="G10">
        <v>10.833710911661701</v>
      </c>
      <c r="K10" t="s">
        <v>14</v>
      </c>
      <c r="L10">
        <v>67</v>
      </c>
      <c r="M10">
        <v>80</v>
      </c>
      <c r="N10">
        <f t="shared" si="1"/>
        <v>20</v>
      </c>
      <c r="O10">
        <v>2.12906</v>
      </c>
      <c r="P10">
        <v>5.1993739088348701</v>
      </c>
      <c r="T10" s="1" t="s">
        <v>14</v>
      </c>
      <c r="U10" s="1">
        <v>273</v>
      </c>
      <c r="V10" s="1">
        <v>68</v>
      </c>
      <c r="W10" s="1">
        <f t="shared" si="2"/>
        <v>32</v>
      </c>
      <c r="X10" s="1">
        <v>2.1533929999999999</v>
      </c>
      <c r="Y10" s="1">
        <v>5.5718292578819204</v>
      </c>
    </row>
    <row r="11" spans="2:25" x14ac:dyDescent="0.25">
      <c r="K11" t="s">
        <v>14</v>
      </c>
      <c r="L11">
        <v>67</v>
      </c>
      <c r="M11">
        <v>83</v>
      </c>
      <c r="N11">
        <f t="shared" si="1"/>
        <v>17</v>
      </c>
      <c r="O11">
        <v>2.1469969999999998</v>
      </c>
      <c r="P11">
        <v>6.5517722164107104</v>
      </c>
      <c r="T11" t="s">
        <v>14</v>
      </c>
      <c r="U11">
        <v>273</v>
      </c>
      <c r="V11">
        <v>69</v>
      </c>
      <c r="W11">
        <f t="shared" si="2"/>
        <v>31</v>
      </c>
      <c r="X11">
        <v>2.1032489999999999</v>
      </c>
      <c r="Y11">
        <v>53.386921581933201</v>
      </c>
    </row>
    <row r="12" spans="2:25" x14ac:dyDescent="0.25">
      <c r="K12" s="1" t="s">
        <v>14</v>
      </c>
      <c r="L12" s="1">
        <v>67</v>
      </c>
      <c r="M12" s="1">
        <v>84</v>
      </c>
      <c r="N12" s="1">
        <f t="shared" si="1"/>
        <v>16</v>
      </c>
      <c r="O12" s="1">
        <v>2.1391879999999999</v>
      </c>
      <c r="P12" s="1">
        <v>8.9009172058397397</v>
      </c>
      <c r="T12" t="s">
        <v>14</v>
      </c>
      <c r="U12">
        <v>273</v>
      </c>
      <c r="V12">
        <v>70</v>
      </c>
      <c r="W12">
        <f t="shared" si="2"/>
        <v>30</v>
      </c>
      <c r="X12">
        <v>2.2884139999999999</v>
      </c>
      <c r="Y12">
        <v>54.185585517649201</v>
      </c>
    </row>
    <row r="13" spans="2:25" x14ac:dyDescent="0.25">
      <c r="K13" t="s">
        <v>14</v>
      </c>
      <c r="L13">
        <v>67</v>
      </c>
      <c r="M13">
        <v>85</v>
      </c>
      <c r="N13">
        <f t="shared" si="1"/>
        <v>15</v>
      </c>
      <c r="O13">
        <v>2.1195750000000002</v>
      </c>
      <c r="P13">
        <v>10.648840293035301</v>
      </c>
    </row>
    <row r="14" spans="2:25" x14ac:dyDescent="0.25">
      <c r="B14" t="s">
        <v>4</v>
      </c>
      <c r="C14" t="s">
        <v>10</v>
      </c>
      <c r="D14" t="s">
        <v>11</v>
      </c>
      <c r="E14" t="s">
        <v>12</v>
      </c>
      <c r="F14" t="s">
        <v>13</v>
      </c>
      <c r="G14" t="s">
        <v>3</v>
      </c>
    </row>
    <row r="15" spans="2:25" x14ac:dyDescent="0.25">
      <c r="B15" t="s">
        <v>15</v>
      </c>
      <c r="C15">
        <v>21</v>
      </c>
      <c r="D15">
        <v>20</v>
      </c>
      <c r="E15">
        <f>100-D15</f>
        <v>80</v>
      </c>
      <c r="F15">
        <v>2.7858269999999998</v>
      </c>
      <c r="G15">
        <v>0.60796332615892701</v>
      </c>
    </row>
    <row r="16" spans="2:25" x14ac:dyDescent="0.25">
      <c r="B16" t="s">
        <v>15</v>
      </c>
      <c r="C16">
        <v>21</v>
      </c>
      <c r="D16">
        <v>30</v>
      </c>
      <c r="E16">
        <f t="shared" ref="E16:E25" si="3">100-D16</f>
        <v>70</v>
      </c>
      <c r="F16">
        <v>3.0220030000000002</v>
      </c>
      <c r="G16">
        <v>0.64230188209403505</v>
      </c>
    </row>
    <row r="17" spans="2:25" x14ac:dyDescent="0.25">
      <c r="B17" t="s">
        <v>15</v>
      </c>
      <c r="C17">
        <v>21</v>
      </c>
      <c r="D17">
        <v>40</v>
      </c>
      <c r="E17">
        <f t="shared" si="3"/>
        <v>60</v>
      </c>
      <c r="F17">
        <v>2.484645</v>
      </c>
      <c r="G17">
        <v>0.80941501011100203</v>
      </c>
      <c r="K17" t="s">
        <v>4</v>
      </c>
      <c r="L17" t="s">
        <v>10</v>
      </c>
      <c r="M17" t="s">
        <v>11</v>
      </c>
      <c r="N17" t="s">
        <v>12</v>
      </c>
      <c r="O17" t="s">
        <v>13</v>
      </c>
      <c r="P17" t="s">
        <v>3</v>
      </c>
      <c r="T17" t="s">
        <v>4</v>
      </c>
      <c r="U17" t="s">
        <v>10</v>
      </c>
      <c r="V17" t="s">
        <v>11</v>
      </c>
      <c r="W17" t="s">
        <v>12</v>
      </c>
      <c r="X17" t="s">
        <v>13</v>
      </c>
      <c r="Y17" t="s">
        <v>3</v>
      </c>
    </row>
    <row r="18" spans="2:25" x14ac:dyDescent="0.25">
      <c r="B18" t="s">
        <v>15</v>
      </c>
      <c r="C18">
        <v>21</v>
      </c>
      <c r="D18">
        <v>50</v>
      </c>
      <c r="E18">
        <f t="shared" si="3"/>
        <v>50</v>
      </c>
      <c r="F18">
        <v>2.3581660000000002</v>
      </c>
      <c r="G18">
        <v>1.98001676789303</v>
      </c>
      <c r="K18" t="s">
        <v>15</v>
      </c>
      <c r="L18">
        <v>67</v>
      </c>
      <c r="M18">
        <v>20</v>
      </c>
      <c r="N18">
        <f>100-M18</f>
        <v>80</v>
      </c>
      <c r="O18">
        <v>2.6580300000000001</v>
      </c>
      <c r="P18">
        <v>0.55638841352161095</v>
      </c>
      <c r="T18" t="s">
        <v>15</v>
      </c>
      <c r="U18">
        <v>273</v>
      </c>
      <c r="V18">
        <v>20</v>
      </c>
      <c r="W18">
        <f>100-V18</f>
        <v>80</v>
      </c>
      <c r="X18">
        <v>2.6580699999999999</v>
      </c>
      <c r="Y18">
        <v>0.530325512643817</v>
      </c>
    </row>
    <row r="19" spans="2:25" x14ac:dyDescent="0.25">
      <c r="B19" t="s">
        <v>15</v>
      </c>
      <c r="C19">
        <v>21</v>
      </c>
      <c r="D19">
        <v>60</v>
      </c>
      <c r="E19">
        <f t="shared" si="3"/>
        <v>40</v>
      </c>
      <c r="F19">
        <v>2.3526009999999999</v>
      </c>
      <c r="G19">
        <v>2.8515777962951998</v>
      </c>
      <c r="K19" t="s">
        <v>15</v>
      </c>
      <c r="L19">
        <v>67</v>
      </c>
      <c r="M19">
        <v>30</v>
      </c>
      <c r="N19">
        <f>100-M19</f>
        <v>70</v>
      </c>
      <c r="O19">
        <v>2.4739040000000001</v>
      </c>
      <c r="P19">
        <v>0.67793789957805495</v>
      </c>
      <c r="T19" t="s">
        <v>15</v>
      </c>
      <c r="U19">
        <v>273</v>
      </c>
      <c r="V19">
        <v>30</v>
      </c>
      <c r="W19">
        <f>100-V19</f>
        <v>70</v>
      </c>
      <c r="X19">
        <v>2.3488389999999999</v>
      </c>
      <c r="Y19">
        <v>0.64510172994230697</v>
      </c>
    </row>
    <row r="20" spans="2:25" x14ac:dyDescent="0.25">
      <c r="B20" t="s">
        <v>15</v>
      </c>
      <c r="C20">
        <v>21</v>
      </c>
      <c r="D20">
        <v>70</v>
      </c>
      <c r="E20">
        <f t="shared" si="3"/>
        <v>30</v>
      </c>
      <c r="F20">
        <v>2.3585569999999998</v>
      </c>
      <c r="G20">
        <v>5.1631750580128202</v>
      </c>
      <c r="K20" t="s">
        <v>15</v>
      </c>
      <c r="L20">
        <v>67</v>
      </c>
      <c r="M20">
        <v>40</v>
      </c>
      <c r="N20">
        <f t="shared" ref="N20:N28" si="4">100-M20</f>
        <v>60</v>
      </c>
      <c r="O20">
        <v>2.8253740000000001</v>
      </c>
      <c r="P20">
        <v>0.62945083118975997</v>
      </c>
      <c r="T20" t="s">
        <v>15</v>
      </c>
      <c r="U20">
        <v>273</v>
      </c>
      <c r="V20">
        <v>40</v>
      </c>
      <c r="W20">
        <f t="shared" ref="W20:W28" si="5">100-V20</f>
        <v>60</v>
      </c>
      <c r="X20">
        <v>2.3289810000000002</v>
      </c>
      <c r="Y20">
        <v>0.72991927286430203</v>
      </c>
    </row>
    <row r="21" spans="2:25" x14ac:dyDescent="0.25">
      <c r="B21" t="s">
        <v>15</v>
      </c>
      <c r="C21">
        <v>21</v>
      </c>
      <c r="D21">
        <v>75</v>
      </c>
      <c r="E21">
        <f t="shared" si="3"/>
        <v>25</v>
      </c>
      <c r="F21">
        <v>2.2627169999999999</v>
      </c>
      <c r="G21">
        <v>6.6649530258232703</v>
      </c>
      <c r="K21" t="s">
        <v>15</v>
      </c>
      <c r="L21">
        <v>67</v>
      </c>
      <c r="M21">
        <v>50</v>
      </c>
      <c r="N21">
        <f t="shared" si="4"/>
        <v>50</v>
      </c>
      <c r="O21">
        <v>2.380198</v>
      </c>
      <c r="P21">
        <v>0.75184203423080698</v>
      </c>
      <c r="T21" t="s">
        <v>15</v>
      </c>
      <c r="U21">
        <v>273</v>
      </c>
      <c r="V21">
        <v>50</v>
      </c>
      <c r="W21">
        <f t="shared" si="5"/>
        <v>50</v>
      </c>
      <c r="X21">
        <v>2.26919</v>
      </c>
      <c r="Y21">
        <v>0.99828231746276197</v>
      </c>
    </row>
    <row r="22" spans="2:25" x14ac:dyDescent="0.25">
      <c r="B22" t="s">
        <v>15</v>
      </c>
      <c r="C22">
        <v>21</v>
      </c>
      <c r="D22">
        <v>77</v>
      </c>
      <c r="E22">
        <f t="shared" si="3"/>
        <v>23</v>
      </c>
      <c r="F22">
        <v>2.2707579999999998</v>
      </c>
      <c r="G22">
        <v>7.3075510130203103</v>
      </c>
      <c r="K22" t="s">
        <v>15</v>
      </c>
      <c r="L22">
        <v>67</v>
      </c>
      <c r="M22">
        <v>60</v>
      </c>
      <c r="N22">
        <f t="shared" si="4"/>
        <v>40</v>
      </c>
      <c r="O22">
        <v>2.241565</v>
      </c>
      <c r="P22">
        <v>0.98757626711062996</v>
      </c>
      <c r="T22" t="s">
        <v>15</v>
      </c>
      <c r="U22">
        <v>273</v>
      </c>
      <c r="V22">
        <v>60</v>
      </c>
      <c r="W22">
        <f t="shared" si="5"/>
        <v>40</v>
      </c>
      <c r="X22">
        <v>2.1642169999999998</v>
      </c>
      <c r="Y22">
        <v>1.2852925920604701</v>
      </c>
    </row>
    <row r="23" spans="2:25" x14ac:dyDescent="0.25">
      <c r="B23" t="s">
        <v>15</v>
      </c>
      <c r="C23">
        <v>21</v>
      </c>
      <c r="D23">
        <v>78</v>
      </c>
      <c r="E23">
        <f t="shared" si="3"/>
        <v>22</v>
      </c>
      <c r="F23">
        <v>2.300834</v>
      </c>
      <c r="G23">
        <v>7.13751486235308</v>
      </c>
      <c r="K23" t="s">
        <v>15</v>
      </c>
      <c r="L23">
        <v>67</v>
      </c>
      <c r="M23">
        <v>70</v>
      </c>
      <c r="N23">
        <f t="shared" si="4"/>
        <v>30</v>
      </c>
      <c r="O23">
        <v>2.618817</v>
      </c>
      <c r="P23">
        <v>1.17542499023473</v>
      </c>
      <c r="T23" t="s">
        <v>15</v>
      </c>
      <c r="U23">
        <v>273</v>
      </c>
      <c r="V23">
        <v>70</v>
      </c>
      <c r="W23">
        <f t="shared" si="5"/>
        <v>30</v>
      </c>
      <c r="X23">
        <v>2.218067</v>
      </c>
      <c r="Y23">
        <v>6.0988842115736901</v>
      </c>
    </row>
    <row r="24" spans="2:25" x14ac:dyDescent="0.25">
      <c r="B24" s="1" t="s">
        <v>15</v>
      </c>
      <c r="C24" s="1">
        <v>21</v>
      </c>
      <c r="D24" s="1">
        <v>79</v>
      </c>
      <c r="E24" s="1">
        <f t="shared" si="3"/>
        <v>21</v>
      </c>
      <c r="F24" s="1">
        <v>2.3463250000000002</v>
      </c>
      <c r="G24" s="1">
        <v>9.5532534249011807</v>
      </c>
      <c r="K24" t="s">
        <v>15</v>
      </c>
      <c r="L24">
        <v>67</v>
      </c>
      <c r="M24">
        <v>80</v>
      </c>
      <c r="N24">
        <f t="shared" si="4"/>
        <v>20</v>
      </c>
      <c r="O24">
        <v>2.3168959999999998</v>
      </c>
      <c r="P24">
        <v>9.0568929458186105</v>
      </c>
      <c r="T24" t="s">
        <v>15</v>
      </c>
      <c r="U24">
        <v>273</v>
      </c>
      <c r="V24">
        <v>80</v>
      </c>
      <c r="W24">
        <f t="shared" si="5"/>
        <v>20</v>
      </c>
      <c r="X24">
        <v>2.1122399999999999</v>
      </c>
      <c r="Y24">
        <v>3.95479675415329</v>
      </c>
    </row>
    <row r="25" spans="2:25" x14ac:dyDescent="0.25">
      <c r="B25" t="s">
        <v>15</v>
      </c>
      <c r="C25">
        <v>21</v>
      </c>
      <c r="D25">
        <v>80</v>
      </c>
      <c r="E25">
        <f t="shared" si="3"/>
        <v>20</v>
      </c>
      <c r="F25">
        <v>2.2554500000000002</v>
      </c>
      <c r="G25">
        <v>31.202424463069999</v>
      </c>
      <c r="K25" t="s">
        <v>15</v>
      </c>
      <c r="L25">
        <v>67</v>
      </c>
      <c r="M25">
        <v>81</v>
      </c>
      <c r="N25">
        <f t="shared" si="4"/>
        <v>19</v>
      </c>
      <c r="O25">
        <v>2.2389350000000001</v>
      </c>
      <c r="P25">
        <v>8.3430789248094293</v>
      </c>
      <c r="T25" s="1" t="s">
        <v>15</v>
      </c>
      <c r="U25" s="1">
        <v>273</v>
      </c>
      <c r="V25" s="1">
        <v>81</v>
      </c>
      <c r="W25" s="1">
        <f t="shared" si="5"/>
        <v>19</v>
      </c>
      <c r="X25" s="1">
        <v>2.2253669999999999</v>
      </c>
      <c r="Y25" s="1">
        <v>5.6524810244778303</v>
      </c>
    </row>
    <row r="26" spans="2:25" x14ac:dyDescent="0.25">
      <c r="K26" s="1" t="s">
        <v>15</v>
      </c>
      <c r="L26" s="1">
        <v>67</v>
      </c>
      <c r="M26" s="1">
        <v>82</v>
      </c>
      <c r="N26" s="1">
        <f t="shared" si="4"/>
        <v>18</v>
      </c>
      <c r="O26" s="1">
        <v>2.325196</v>
      </c>
      <c r="P26" s="1">
        <v>9.1928674219226192</v>
      </c>
      <c r="T26" t="s">
        <v>15</v>
      </c>
      <c r="U26">
        <v>273</v>
      </c>
      <c r="V26">
        <v>82</v>
      </c>
      <c r="W26">
        <f>100-V26</f>
        <v>18</v>
      </c>
      <c r="X26">
        <v>2.166226</v>
      </c>
      <c r="Y26">
        <v>10.873267330330499</v>
      </c>
    </row>
    <row r="27" spans="2:25" x14ac:dyDescent="0.25">
      <c r="K27" t="s">
        <v>15</v>
      </c>
      <c r="L27">
        <v>67</v>
      </c>
      <c r="M27">
        <v>83</v>
      </c>
      <c r="N27">
        <f t="shared" si="4"/>
        <v>17</v>
      </c>
      <c r="O27">
        <v>2.289358</v>
      </c>
      <c r="P27">
        <v>10.3431004270098</v>
      </c>
      <c r="T27" t="s">
        <v>15</v>
      </c>
      <c r="U27">
        <v>273</v>
      </c>
      <c r="V27">
        <v>85</v>
      </c>
      <c r="W27">
        <f t="shared" si="5"/>
        <v>15</v>
      </c>
      <c r="X27">
        <v>2.032724</v>
      </c>
      <c r="Y27">
        <v>23.590467780041099</v>
      </c>
    </row>
    <row r="28" spans="2:25" x14ac:dyDescent="0.25">
      <c r="K28" t="s">
        <v>15</v>
      </c>
      <c r="L28">
        <v>67</v>
      </c>
      <c r="M28">
        <v>85</v>
      </c>
      <c r="N28">
        <f t="shared" si="4"/>
        <v>15</v>
      </c>
      <c r="O28">
        <v>2.283909</v>
      </c>
      <c r="P28">
        <v>79.859640984276396</v>
      </c>
      <c r="T28" t="s">
        <v>15</v>
      </c>
      <c r="U28">
        <v>273</v>
      </c>
      <c r="V28">
        <v>90</v>
      </c>
      <c r="W28">
        <f t="shared" si="5"/>
        <v>10</v>
      </c>
      <c r="X28">
        <v>2.1088170000000002</v>
      </c>
      <c r="Y28">
        <v>28.571024821297499</v>
      </c>
    </row>
    <row r="29" spans="2:25" x14ac:dyDescent="0.25">
      <c r="B29" t="s">
        <v>4</v>
      </c>
      <c r="C29" t="s">
        <v>10</v>
      </c>
      <c r="D29" t="s">
        <v>11</v>
      </c>
      <c r="E29" t="s">
        <v>12</v>
      </c>
      <c r="F29" t="s">
        <v>13</v>
      </c>
      <c r="G29" t="s">
        <v>3</v>
      </c>
    </row>
    <row r="30" spans="2:25" x14ac:dyDescent="0.25">
      <c r="B30" t="s">
        <v>18</v>
      </c>
      <c r="C30">
        <v>21</v>
      </c>
      <c r="D30">
        <v>20</v>
      </c>
      <c r="E30">
        <f>100-D30</f>
        <v>80</v>
      </c>
      <c r="F30">
        <v>4.5661500000000004</v>
      </c>
      <c r="G30">
        <v>0.97048664618083902</v>
      </c>
    </row>
    <row r="31" spans="2:25" x14ac:dyDescent="0.25">
      <c r="B31" t="s">
        <v>18</v>
      </c>
      <c r="C31">
        <v>21</v>
      </c>
      <c r="D31">
        <v>30</v>
      </c>
      <c r="E31">
        <f>100-D31</f>
        <v>70</v>
      </c>
      <c r="F31">
        <v>4.6794960000000003</v>
      </c>
      <c r="G31">
        <v>1.0574103003160999</v>
      </c>
    </row>
    <row r="32" spans="2:25" x14ac:dyDescent="0.25">
      <c r="B32" t="s">
        <v>18</v>
      </c>
      <c r="C32">
        <v>21</v>
      </c>
      <c r="D32">
        <v>40</v>
      </c>
      <c r="E32">
        <f>100-D32</f>
        <v>60</v>
      </c>
      <c r="F32">
        <v>4.2394540000000003</v>
      </c>
      <c r="G32">
        <v>0.92636514094550604</v>
      </c>
      <c r="K32" t="s">
        <v>4</v>
      </c>
      <c r="L32" t="s">
        <v>10</v>
      </c>
      <c r="M32" t="s">
        <v>11</v>
      </c>
      <c r="N32" t="s">
        <v>12</v>
      </c>
      <c r="O32" t="s">
        <v>13</v>
      </c>
      <c r="P32" t="s">
        <v>3</v>
      </c>
      <c r="T32" t="s">
        <v>4</v>
      </c>
      <c r="U32" t="s">
        <v>10</v>
      </c>
      <c r="V32" t="s">
        <v>11</v>
      </c>
      <c r="W32" t="s">
        <v>12</v>
      </c>
      <c r="X32" t="s">
        <v>13</v>
      </c>
      <c r="Y32" t="s">
        <v>3</v>
      </c>
    </row>
    <row r="33" spans="2:25" x14ac:dyDescent="0.25">
      <c r="B33" t="s">
        <v>18</v>
      </c>
      <c r="C33">
        <v>21</v>
      </c>
      <c r="D33">
        <v>50</v>
      </c>
      <c r="E33">
        <f>100-D33</f>
        <v>50</v>
      </c>
      <c r="F33">
        <v>4.2323620000000002</v>
      </c>
      <c r="G33">
        <v>3.3251278875336698</v>
      </c>
      <c r="K33" t="s">
        <v>20</v>
      </c>
      <c r="L33">
        <v>67</v>
      </c>
      <c r="M33">
        <v>20</v>
      </c>
      <c r="N33">
        <f>100-M33</f>
        <v>80</v>
      </c>
      <c r="O33">
        <v>4.3293699999999999</v>
      </c>
      <c r="P33">
        <v>0.95618771535681202</v>
      </c>
      <c r="T33" t="s">
        <v>20</v>
      </c>
      <c r="U33">
        <v>273</v>
      </c>
      <c r="V33">
        <v>20</v>
      </c>
      <c r="W33">
        <f>100-V33</f>
        <v>80</v>
      </c>
      <c r="X33">
        <v>4.2464230000000001</v>
      </c>
      <c r="Y33">
        <v>1.1044102724714899</v>
      </c>
    </row>
    <row r="34" spans="2:25" x14ac:dyDescent="0.25">
      <c r="B34" t="s">
        <v>18</v>
      </c>
      <c r="C34">
        <v>21</v>
      </c>
      <c r="D34">
        <v>60</v>
      </c>
      <c r="E34">
        <f t="shared" ref="E34:E39" si="6">100-D34</f>
        <v>40</v>
      </c>
      <c r="F34">
        <v>4.5566469999999999</v>
      </c>
      <c r="G34">
        <v>3.2960277051746201</v>
      </c>
      <c r="K34" t="s">
        <v>20</v>
      </c>
      <c r="L34">
        <v>67</v>
      </c>
      <c r="M34">
        <v>30</v>
      </c>
      <c r="N34">
        <f>100-M34</f>
        <v>70</v>
      </c>
      <c r="O34">
        <v>4.3666609999999997</v>
      </c>
      <c r="P34">
        <v>0.95603857788380497</v>
      </c>
      <c r="T34" t="s">
        <v>20</v>
      </c>
      <c r="U34">
        <v>273</v>
      </c>
      <c r="V34">
        <v>30</v>
      </c>
      <c r="W34">
        <f>100-V34</f>
        <v>70</v>
      </c>
      <c r="X34">
        <v>4.07423</v>
      </c>
      <c r="Y34">
        <v>1.2622524763839</v>
      </c>
    </row>
    <row r="35" spans="2:25" x14ac:dyDescent="0.25">
      <c r="B35" t="s">
        <v>18</v>
      </c>
      <c r="C35">
        <v>21</v>
      </c>
      <c r="D35">
        <v>70</v>
      </c>
      <c r="E35">
        <f t="shared" si="6"/>
        <v>30</v>
      </c>
      <c r="F35">
        <v>4.2445830000000004</v>
      </c>
      <c r="G35">
        <v>6.1908994740970096</v>
      </c>
      <c r="K35" t="s">
        <v>20</v>
      </c>
      <c r="L35">
        <v>67</v>
      </c>
      <c r="M35">
        <v>40</v>
      </c>
      <c r="N35">
        <f t="shared" ref="N35:N44" si="7">100-M35</f>
        <v>60</v>
      </c>
      <c r="O35">
        <v>4.3353630000000001</v>
      </c>
      <c r="P35">
        <v>0.82669617948172902</v>
      </c>
      <c r="T35" t="s">
        <v>20</v>
      </c>
      <c r="U35">
        <v>273</v>
      </c>
      <c r="V35">
        <v>40</v>
      </c>
      <c r="W35">
        <f t="shared" ref="W35:W41" si="8">100-V35</f>
        <v>60</v>
      </c>
      <c r="X35">
        <v>4.1482510000000001</v>
      </c>
      <c r="Y35">
        <v>1.0948275269832399</v>
      </c>
    </row>
    <row r="36" spans="2:25" x14ac:dyDescent="0.25">
      <c r="B36" t="s">
        <v>18</v>
      </c>
      <c r="C36">
        <v>21</v>
      </c>
      <c r="D36">
        <v>75</v>
      </c>
      <c r="E36">
        <f t="shared" si="6"/>
        <v>25</v>
      </c>
      <c r="F36">
        <v>4.0320790000000004</v>
      </c>
      <c r="G36">
        <v>7.8574003481125301</v>
      </c>
      <c r="K36" t="s">
        <v>20</v>
      </c>
      <c r="L36">
        <v>67</v>
      </c>
      <c r="M36">
        <v>50</v>
      </c>
      <c r="N36">
        <f t="shared" si="7"/>
        <v>50</v>
      </c>
      <c r="O36">
        <v>4.2833180000000004</v>
      </c>
      <c r="P36">
        <v>1.0753106248670301</v>
      </c>
      <c r="T36" t="s">
        <v>20</v>
      </c>
      <c r="U36">
        <v>273</v>
      </c>
      <c r="V36">
        <v>50</v>
      </c>
      <c r="W36">
        <f t="shared" si="8"/>
        <v>50</v>
      </c>
      <c r="X36">
        <v>3.929942</v>
      </c>
      <c r="Y36">
        <v>2.5861346649227501</v>
      </c>
    </row>
    <row r="37" spans="2:25" x14ac:dyDescent="0.25">
      <c r="B37" s="1" t="s">
        <v>18</v>
      </c>
      <c r="C37" s="1">
        <v>21</v>
      </c>
      <c r="D37" s="1">
        <v>76</v>
      </c>
      <c r="E37" s="1">
        <f t="shared" si="6"/>
        <v>24</v>
      </c>
      <c r="F37" s="1">
        <v>4.1710250000000002</v>
      </c>
      <c r="G37" s="1">
        <v>9.1426031896147695</v>
      </c>
      <c r="K37" t="s">
        <v>20</v>
      </c>
      <c r="L37">
        <v>67</v>
      </c>
      <c r="M37">
        <v>60</v>
      </c>
      <c r="N37">
        <f t="shared" si="7"/>
        <v>40</v>
      </c>
      <c r="O37">
        <v>4.1439399999999997</v>
      </c>
      <c r="P37">
        <v>0.80735943992735404</v>
      </c>
      <c r="T37" t="s">
        <v>20</v>
      </c>
      <c r="U37">
        <v>273</v>
      </c>
      <c r="V37">
        <v>60</v>
      </c>
      <c r="W37">
        <f t="shared" si="8"/>
        <v>40</v>
      </c>
      <c r="X37">
        <v>3.7830430000000002</v>
      </c>
      <c r="Y37">
        <v>6.2726486404513802</v>
      </c>
    </row>
    <row r="38" spans="2:25" x14ac:dyDescent="0.25">
      <c r="B38" t="s">
        <v>18</v>
      </c>
      <c r="C38">
        <v>21</v>
      </c>
      <c r="D38">
        <v>77</v>
      </c>
      <c r="E38">
        <f t="shared" si="6"/>
        <v>23</v>
      </c>
      <c r="F38">
        <v>4.2286770000000002</v>
      </c>
      <c r="G38">
        <v>10.2488968671561</v>
      </c>
      <c r="K38" t="s">
        <v>20</v>
      </c>
      <c r="L38">
        <v>67</v>
      </c>
      <c r="M38">
        <v>70</v>
      </c>
      <c r="N38">
        <f t="shared" si="7"/>
        <v>30</v>
      </c>
      <c r="O38">
        <v>4.3980350000000001</v>
      </c>
      <c r="P38">
        <v>1.7600181761356899</v>
      </c>
      <c r="T38" s="1" t="s">
        <v>20</v>
      </c>
      <c r="U38" s="1">
        <v>273</v>
      </c>
      <c r="V38" s="1">
        <v>70</v>
      </c>
      <c r="W38" s="1">
        <f t="shared" si="8"/>
        <v>30</v>
      </c>
      <c r="X38" s="1">
        <v>3.9475859999999998</v>
      </c>
      <c r="Y38" s="1">
        <v>9.3023369943198695</v>
      </c>
    </row>
    <row r="39" spans="2:25" x14ac:dyDescent="0.25">
      <c r="B39" t="s">
        <v>18</v>
      </c>
      <c r="C39">
        <v>21</v>
      </c>
      <c r="D39">
        <v>80</v>
      </c>
      <c r="E39">
        <f t="shared" si="6"/>
        <v>20</v>
      </c>
      <c r="F39">
        <v>3.9727800000000002</v>
      </c>
      <c r="G39">
        <v>14.615728955242201</v>
      </c>
      <c r="K39" t="s">
        <v>20</v>
      </c>
      <c r="L39">
        <v>67</v>
      </c>
      <c r="M39">
        <v>80</v>
      </c>
      <c r="N39">
        <f t="shared" si="7"/>
        <v>20</v>
      </c>
      <c r="O39">
        <v>4.0491979999999996</v>
      </c>
      <c r="P39">
        <v>2.99855621318875</v>
      </c>
      <c r="T39" t="s">
        <v>20</v>
      </c>
      <c r="U39">
        <v>273</v>
      </c>
      <c r="V39">
        <v>71</v>
      </c>
      <c r="W39">
        <f t="shared" si="8"/>
        <v>29</v>
      </c>
      <c r="X39">
        <v>4.1091069999999998</v>
      </c>
      <c r="Y39">
        <v>14.592864973237299</v>
      </c>
    </row>
    <row r="40" spans="2:25" x14ac:dyDescent="0.25">
      <c r="K40" t="s">
        <v>20</v>
      </c>
      <c r="L40">
        <v>67</v>
      </c>
      <c r="M40">
        <v>85</v>
      </c>
      <c r="N40">
        <f t="shared" si="7"/>
        <v>15</v>
      </c>
      <c r="O40">
        <v>4.1886599999999996</v>
      </c>
      <c r="P40">
        <v>3.2973837793274301</v>
      </c>
      <c r="T40" s="2" t="s">
        <v>20</v>
      </c>
      <c r="U40">
        <v>273</v>
      </c>
      <c r="V40" s="2">
        <v>72</v>
      </c>
      <c r="W40">
        <f t="shared" si="8"/>
        <v>28</v>
      </c>
      <c r="X40" s="2">
        <v>3.8065709999999999</v>
      </c>
      <c r="Y40" s="2">
        <v>14.673985196179</v>
      </c>
    </row>
    <row r="41" spans="2:25" x14ac:dyDescent="0.25">
      <c r="K41" t="s">
        <v>20</v>
      </c>
      <c r="L41">
        <v>67</v>
      </c>
      <c r="M41">
        <v>87</v>
      </c>
      <c r="N41">
        <f t="shared" si="7"/>
        <v>13</v>
      </c>
      <c r="O41">
        <v>3.8084169999999999</v>
      </c>
      <c r="P41">
        <v>4.8744357255642603</v>
      </c>
      <c r="T41" t="s">
        <v>20</v>
      </c>
      <c r="U41">
        <v>273</v>
      </c>
      <c r="V41">
        <v>75</v>
      </c>
      <c r="W41">
        <f t="shared" si="8"/>
        <v>25</v>
      </c>
      <c r="X41">
        <v>3.8221780000000001</v>
      </c>
      <c r="Y41">
        <v>19.776639149117798</v>
      </c>
    </row>
    <row r="42" spans="2:25" x14ac:dyDescent="0.25">
      <c r="K42" s="3" t="s">
        <v>20</v>
      </c>
      <c r="L42" s="3">
        <v>67</v>
      </c>
      <c r="M42" s="3">
        <v>88</v>
      </c>
      <c r="N42" s="3">
        <f t="shared" si="7"/>
        <v>12</v>
      </c>
      <c r="O42" s="3">
        <v>3.8766889999999998</v>
      </c>
      <c r="P42" s="3">
        <v>4.8733845302284102</v>
      </c>
    </row>
    <row r="43" spans="2:25" x14ac:dyDescent="0.25">
      <c r="B43" t="s">
        <v>4</v>
      </c>
      <c r="C43" t="s">
        <v>10</v>
      </c>
      <c r="D43" t="s">
        <v>11</v>
      </c>
      <c r="E43" t="s">
        <v>12</v>
      </c>
      <c r="F43" t="s">
        <v>13</v>
      </c>
      <c r="G43" t="s">
        <v>3</v>
      </c>
      <c r="K43" t="s">
        <v>20</v>
      </c>
      <c r="L43">
        <v>67</v>
      </c>
      <c r="M43">
        <v>89</v>
      </c>
      <c r="N43">
        <f t="shared" si="7"/>
        <v>11</v>
      </c>
      <c r="O43">
        <v>3.8752309999999999</v>
      </c>
      <c r="P43">
        <v>10.1692586239009</v>
      </c>
    </row>
    <row r="44" spans="2:25" x14ac:dyDescent="0.25">
      <c r="B44" t="s">
        <v>19</v>
      </c>
      <c r="C44">
        <v>21</v>
      </c>
      <c r="D44">
        <v>20</v>
      </c>
      <c r="E44">
        <f>100-D44</f>
        <v>80</v>
      </c>
      <c r="F44">
        <v>3.798006</v>
      </c>
      <c r="G44">
        <v>1.09623238473411</v>
      </c>
      <c r="K44" t="s">
        <v>20</v>
      </c>
      <c r="L44">
        <v>67</v>
      </c>
      <c r="M44">
        <v>90</v>
      </c>
      <c r="N44">
        <f t="shared" si="7"/>
        <v>10</v>
      </c>
      <c r="O44">
        <v>4.5183850000000003</v>
      </c>
      <c r="P44">
        <v>26.312339557995202</v>
      </c>
    </row>
    <row r="45" spans="2:25" x14ac:dyDescent="0.25">
      <c r="B45" t="s">
        <v>19</v>
      </c>
      <c r="C45">
        <v>21</v>
      </c>
      <c r="D45">
        <v>30</v>
      </c>
      <c r="E45">
        <f t="shared" ref="E45:E52" si="9">100-D45</f>
        <v>70</v>
      </c>
      <c r="F45">
        <v>3.6165859999999999</v>
      </c>
      <c r="G45">
        <v>1.1204994678468101</v>
      </c>
      <c r="T45" t="s">
        <v>4</v>
      </c>
      <c r="U45" t="s">
        <v>10</v>
      </c>
      <c r="V45" t="s">
        <v>11</v>
      </c>
      <c r="W45" t="s">
        <v>12</v>
      </c>
      <c r="X45" t="s">
        <v>13</v>
      </c>
      <c r="Y45" t="s">
        <v>3</v>
      </c>
    </row>
    <row r="46" spans="2:25" x14ac:dyDescent="0.25">
      <c r="B46" t="s">
        <v>19</v>
      </c>
      <c r="C46">
        <v>21</v>
      </c>
      <c r="D46">
        <v>40</v>
      </c>
      <c r="E46">
        <f t="shared" si="9"/>
        <v>60</v>
      </c>
      <c r="F46">
        <v>3.4993479999999999</v>
      </c>
      <c r="G46">
        <v>1.1924368073990499</v>
      </c>
      <c r="T46" t="s">
        <v>17</v>
      </c>
      <c r="U46">
        <v>273</v>
      </c>
      <c r="V46">
        <v>20</v>
      </c>
      <c r="W46">
        <f t="shared" ref="W46:W52" si="10">100-V46</f>
        <v>80</v>
      </c>
      <c r="X46">
        <v>3.419454</v>
      </c>
      <c r="Y46">
        <v>1.0507836687630401</v>
      </c>
    </row>
    <row r="47" spans="2:25" x14ac:dyDescent="0.25">
      <c r="B47" t="s">
        <v>19</v>
      </c>
      <c r="C47">
        <v>21</v>
      </c>
      <c r="D47">
        <v>50</v>
      </c>
      <c r="E47">
        <f>100-D47</f>
        <v>50</v>
      </c>
      <c r="F47">
        <v>3.7071260000000001</v>
      </c>
      <c r="G47">
        <v>2.2542370432974401</v>
      </c>
      <c r="T47" t="s">
        <v>17</v>
      </c>
      <c r="U47">
        <v>273</v>
      </c>
      <c r="V47">
        <v>30</v>
      </c>
      <c r="W47">
        <f t="shared" si="10"/>
        <v>70</v>
      </c>
      <c r="X47">
        <v>3.416671</v>
      </c>
      <c r="Y47">
        <v>1.2168178509259799</v>
      </c>
    </row>
    <row r="48" spans="2:25" x14ac:dyDescent="0.25">
      <c r="B48" t="s">
        <v>19</v>
      </c>
      <c r="C48">
        <v>21</v>
      </c>
      <c r="D48">
        <v>60</v>
      </c>
      <c r="E48">
        <f t="shared" si="9"/>
        <v>40</v>
      </c>
      <c r="F48">
        <v>3.4910459999999999</v>
      </c>
      <c r="G48">
        <v>7.4050337506286601</v>
      </c>
      <c r="K48" t="s">
        <v>4</v>
      </c>
      <c r="L48" t="s">
        <v>10</v>
      </c>
      <c r="M48" t="s">
        <v>11</v>
      </c>
      <c r="N48" t="s">
        <v>12</v>
      </c>
      <c r="O48" t="s">
        <v>13</v>
      </c>
      <c r="P48" t="s">
        <v>3</v>
      </c>
      <c r="T48" t="s">
        <v>17</v>
      </c>
      <c r="U48">
        <v>273</v>
      </c>
      <c r="V48">
        <v>40</v>
      </c>
      <c r="W48">
        <f t="shared" si="10"/>
        <v>60</v>
      </c>
      <c r="X48">
        <v>3.3503699999999998</v>
      </c>
      <c r="Y48">
        <v>1.1666345867289301</v>
      </c>
    </row>
    <row r="49" spans="2:25" x14ac:dyDescent="0.25">
      <c r="B49" s="1" t="s">
        <v>19</v>
      </c>
      <c r="C49" s="1">
        <v>21</v>
      </c>
      <c r="D49" s="1">
        <v>70</v>
      </c>
      <c r="E49" s="1">
        <f t="shared" si="9"/>
        <v>30</v>
      </c>
      <c r="F49" s="1">
        <v>3.3725719999999999</v>
      </c>
      <c r="G49" s="1">
        <v>9.7188957373631695</v>
      </c>
      <c r="K49" t="s">
        <v>17</v>
      </c>
      <c r="L49">
        <v>67</v>
      </c>
      <c r="M49">
        <v>20</v>
      </c>
      <c r="N49">
        <f>100-M49</f>
        <v>80</v>
      </c>
      <c r="O49">
        <v>3.5900850000000002</v>
      </c>
      <c r="P49">
        <v>0.99221001257581498</v>
      </c>
      <c r="T49" t="s">
        <v>17</v>
      </c>
      <c r="U49">
        <v>273</v>
      </c>
      <c r="V49">
        <v>50</v>
      </c>
      <c r="W49">
        <f t="shared" si="10"/>
        <v>50</v>
      </c>
      <c r="X49">
        <v>3.3185470000000001</v>
      </c>
      <c r="Y49">
        <v>2.6568295721354098</v>
      </c>
    </row>
    <row r="50" spans="2:25" x14ac:dyDescent="0.25">
      <c r="B50" t="s">
        <v>19</v>
      </c>
      <c r="C50">
        <v>21</v>
      </c>
      <c r="D50">
        <v>71</v>
      </c>
      <c r="E50">
        <f t="shared" si="9"/>
        <v>29</v>
      </c>
      <c r="F50">
        <v>3.6360969999999999</v>
      </c>
      <c r="G50">
        <v>13.104710697468899</v>
      </c>
      <c r="K50" t="s">
        <v>17</v>
      </c>
      <c r="L50">
        <v>67</v>
      </c>
      <c r="M50">
        <v>30</v>
      </c>
      <c r="N50">
        <f>100-M50</f>
        <v>70</v>
      </c>
      <c r="O50">
        <v>3.4574289999999999</v>
      </c>
      <c r="P50">
        <v>1.06306059510761</v>
      </c>
      <c r="T50" t="s">
        <v>17</v>
      </c>
      <c r="U50">
        <v>273</v>
      </c>
      <c r="V50">
        <v>60</v>
      </c>
      <c r="W50">
        <f t="shared" si="10"/>
        <v>40</v>
      </c>
      <c r="X50">
        <v>3.6765949999999998</v>
      </c>
      <c r="Y50">
        <v>5.64177822210236</v>
      </c>
    </row>
    <row r="51" spans="2:25" x14ac:dyDescent="0.25">
      <c r="B51" t="s">
        <v>19</v>
      </c>
      <c r="C51">
        <v>21</v>
      </c>
      <c r="D51">
        <v>72</v>
      </c>
      <c r="E51">
        <f t="shared" si="9"/>
        <v>28</v>
      </c>
      <c r="F51">
        <v>3.2246570000000001</v>
      </c>
      <c r="G51">
        <v>11.0358307726822</v>
      </c>
      <c r="K51" t="s">
        <v>17</v>
      </c>
      <c r="L51">
        <v>67</v>
      </c>
      <c r="M51">
        <v>40</v>
      </c>
      <c r="N51">
        <f t="shared" ref="N51:N59" si="11">100-M51</f>
        <v>60</v>
      </c>
      <c r="O51">
        <v>3.428906</v>
      </c>
      <c r="P51">
        <v>0.79695308624105499</v>
      </c>
      <c r="T51" s="1" t="s">
        <v>17</v>
      </c>
      <c r="U51" s="1">
        <v>273</v>
      </c>
      <c r="V51" s="1">
        <v>69</v>
      </c>
      <c r="W51" s="1">
        <f t="shared" si="10"/>
        <v>31</v>
      </c>
      <c r="X51" s="1">
        <v>3.291188</v>
      </c>
      <c r="Y51" s="1">
        <v>8.2220864983714801</v>
      </c>
    </row>
    <row r="52" spans="2:25" x14ac:dyDescent="0.25">
      <c r="B52" t="s">
        <v>19</v>
      </c>
      <c r="C52">
        <v>21</v>
      </c>
      <c r="D52">
        <v>75</v>
      </c>
      <c r="E52">
        <f t="shared" si="9"/>
        <v>25</v>
      </c>
      <c r="F52">
        <v>3.5051040000000002</v>
      </c>
      <c r="G52">
        <v>16.0345126014893</v>
      </c>
      <c r="K52" t="s">
        <v>17</v>
      </c>
      <c r="L52">
        <v>67</v>
      </c>
      <c r="M52">
        <v>50</v>
      </c>
      <c r="N52">
        <f t="shared" si="11"/>
        <v>50</v>
      </c>
      <c r="O52">
        <v>3.3142390000000002</v>
      </c>
      <c r="P52">
        <v>1.22684428995223</v>
      </c>
      <c r="T52" t="s">
        <v>17</v>
      </c>
      <c r="U52">
        <v>273</v>
      </c>
      <c r="V52">
        <v>70</v>
      </c>
      <c r="W52">
        <f t="shared" si="10"/>
        <v>30</v>
      </c>
      <c r="X52">
        <v>3.2420309999999999</v>
      </c>
      <c r="Y52">
        <v>10.429361942148599</v>
      </c>
    </row>
    <row r="53" spans="2:25" x14ac:dyDescent="0.25">
      <c r="K53" t="s">
        <v>17</v>
      </c>
      <c r="L53">
        <v>67</v>
      </c>
      <c r="M53">
        <v>60</v>
      </c>
      <c r="N53">
        <f t="shared" si="11"/>
        <v>40</v>
      </c>
      <c r="O53">
        <v>3.2831130000000002</v>
      </c>
      <c r="P53">
        <v>0.72629050415346597</v>
      </c>
    </row>
    <row r="54" spans="2:25" x14ac:dyDescent="0.25">
      <c r="K54" t="s">
        <v>17</v>
      </c>
      <c r="L54">
        <v>67</v>
      </c>
      <c r="M54">
        <v>70</v>
      </c>
      <c r="N54">
        <f t="shared" si="11"/>
        <v>30</v>
      </c>
      <c r="O54">
        <v>3.205276</v>
      </c>
      <c r="P54">
        <v>1.77864123292764</v>
      </c>
    </row>
    <row r="55" spans="2:25" x14ac:dyDescent="0.25">
      <c r="K55" t="s">
        <v>17</v>
      </c>
      <c r="L55">
        <v>67</v>
      </c>
      <c r="M55">
        <v>80</v>
      </c>
      <c r="N55">
        <f t="shared" si="11"/>
        <v>20</v>
      </c>
      <c r="O55">
        <v>3.143796</v>
      </c>
      <c r="P55">
        <v>3.55566874626177</v>
      </c>
    </row>
    <row r="56" spans="2:25" x14ac:dyDescent="0.25">
      <c r="K56" t="s">
        <v>17</v>
      </c>
      <c r="L56">
        <v>67</v>
      </c>
      <c r="M56">
        <v>85</v>
      </c>
      <c r="N56">
        <f t="shared" si="11"/>
        <v>15</v>
      </c>
      <c r="O56">
        <v>3.2398020000000001</v>
      </c>
      <c r="P56">
        <v>3.2551129895411499</v>
      </c>
    </row>
    <row r="57" spans="2:25" x14ac:dyDescent="0.25">
      <c r="K57" s="1" t="s">
        <v>17</v>
      </c>
      <c r="L57" s="1">
        <v>67</v>
      </c>
      <c r="M57" s="1">
        <v>88</v>
      </c>
      <c r="N57" s="1">
        <f t="shared" si="11"/>
        <v>12</v>
      </c>
      <c r="O57" s="1">
        <v>3.1689750000000001</v>
      </c>
      <c r="P57" s="1">
        <v>6.5240588850800298</v>
      </c>
    </row>
    <row r="58" spans="2:25" x14ac:dyDescent="0.25">
      <c r="K58" t="s">
        <v>17</v>
      </c>
      <c r="L58">
        <v>67</v>
      </c>
      <c r="M58">
        <v>89</v>
      </c>
      <c r="N58">
        <f t="shared" si="11"/>
        <v>11</v>
      </c>
      <c r="O58">
        <v>3.3983789999999998</v>
      </c>
      <c r="P58">
        <v>10.9767886116438</v>
      </c>
    </row>
    <row r="59" spans="2:25" x14ac:dyDescent="0.25">
      <c r="K59" t="s">
        <v>17</v>
      </c>
      <c r="L59">
        <v>67</v>
      </c>
      <c r="M59">
        <v>90</v>
      </c>
      <c r="N59">
        <f t="shared" si="11"/>
        <v>10</v>
      </c>
      <c r="O59">
        <v>3.175011</v>
      </c>
      <c r="P59">
        <v>26.092171450244301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8CA0-6835-4BE7-B60D-A90C6C111881}">
  <dimension ref="C2:Z34"/>
  <sheetViews>
    <sheetView workbookViewId="0">
      <selection activeCell="H34" sqref="H34"/>
    </sheetView>
  </sheetViews>
  <sheetFormatPr defaultRowHeight="15" x14ac:dyDescent="0.25"/>
  <sheetData>
    <row r="2" spans="3:26" x14ac:dyDescent="0.25">
      <c r="C2" t="s">
        <v>25</v>
      </c>
    </row>
    <row r="4" spans="3:26" x14ac:dyDescent="0.25">
      <c r="C4" t="s">
        <v>4</v>
      </c>
      <c r="D4" t="s">
        <v>24</v>
      </c>
      <c r="E4" t="s">
        <v>21</v>
      </c>
      <c r="F4" t="s">
        <v>22</v>
      </c>
      <c r="G4" t="s">
        <v>3</v>
      </c>
      <c r="H4" t="s">
        <v>23</v>
      </c>
      <c r="L4" t="s">
        <v>4</v>
      </c>
      <c r="M4" t="s">
        <v>24</v>
      </c>
      <c r="N4" t="s">
        <v>21</v>
      </c>
      <c r="O4" t="s">
        <v>22</v>
      </c>
      <c r="P4" t="s">
        <v>3</v>
      </c>
      <c r="Q4" t="s">
        <v>23</v>
      </c>
      <c r="U4" t="s">
        <v>4</v>
      </c>
      <c r="V4" t="s">
        <v>24</v>
      </c>
      <c r="W4" t="s">
        <v>21</v>
      </c>
      <c r="X4" t="s">
        <v>22</v>
      </c>
      <c r="Y4" t="s">
        <v>3</v>
      </c>
      <c r="Z4" t="s">
        <v>23</v>
      </c>
    </row>
    <row r="5" spans="3:26" x14ac:dyDescent="0.25">
      <c r="C5" t="s">
        <v>14</v>
      </c>
      <c r="D5">
        <v>12</v>
      </c>
      <c r="E5">
        <v>10</v>
      </c>
      <c r="F5">
        <f t="shared" ref="F5:F10" si="0">E5*10</f>
        <v>100</v>
      </c>
      <c r="G5">
        <v>27.067644533518202</v>
      </c>
      <c r="H5">
        <v>2.4413990000000001</v>
      </c>
      <c r="L5" t="s">
        <v>14</v>
      </c>
      <c r="M5">
        <v>897</v>
      </c>
      <c r="N5">
        <v>10</v>
      </c>
      <c r="O5">
        <f t="shared" ref="O5:O10" si="1">N5*10</f>
        <v>100</v>
      </c>
      <c r="P5">
        <v>27.905696392471199</v>
      </c>
      <c r="Q5">
        <v>2.358079</v>
      </c>
      <c r="U5" t="s">
        <v>14</v>
      </c>
      <c r="V5">
        <v>222</v>
      </c>
      <c r="W5">
        <v>10</v>
      </c>
      <c r="X5">
        <f t="shared" ref="X5:X10" si="2">W5*10</f>
        <v>100</v>
      </c>
      <c r="Y5">
        <v>34.542869103129398</v>
      </c>
      <c r="Z5">
        <v>2.494653</v>
      </c>
    </row>
    <row r="6" spans="3:26" x14ac:dyDescent="0.25">
      <c r="C6" t="s">
        <v>14</v>
      </c>
      <c r="D6">
        <v>12</v>
      </c>
      <c r="E6">
        <v>20</v>
      </c>
      <c r="F6">
        <f t="shared" si="0"/>
        <v>200</v>
      </c>
      <c r="G6">
        <v>25.065139891208201</v>
      </c>
      <c r="H6">
        <v>3.2889590000000002</v>
      </c>
      <c r="L6" t="s">
        <v>14</v>
      </c>
      <c r="M6">
        <v>897</v>
      </c>
      <c r="N6">
        <v>20</v>
      </c>
      <c r="O6">
        <f t="shared" si="1"/>
        <v>200</v>
      </c>
      <c r="P6">
        <v>31.035007971227301</v>
      </c>
      <c r="Q6">
        <v>2.8756140000000001</v>
      </c>
      <c r="U6" t="s">
        <v>14</v>
      </c>
      <c r="V6">
        <v>222</v>
      </c>
      <c r="W6">
        <v>20</v>
      </c>
      <c r="X6">
        <f t="shared" si="2"/>
        <v>200</v>
      </c>
      <c r="Y6">
        <v>29.350406033471</v>
      </c>
      <c r="Z6">
        <v>2.968601</v>
      </c>
    </row>
    <row r="7" spans="3:26" x14ac:dyDescent="0.25">
      <c r="C7" t="s">
        <v>14</v>
      </c>
      <c r="D7">
        <v>12</v>
      </c>
      <c r="E7">
        <v>30</v>
      </c>
      <c r="F7">
        <f t="shared" si="0"/>
        <v>300</v>
      </c>
      <c r="G7">
        <v>26.040091000986699</v>
      </c>
      <c r="H7">
        <v>3.6949800000000002</v>
      </c>
      <c r="L7" t="s">
        <v>14</v>
      </c>
      <c r="M7">
        <v>897</v>
      </c>
      <c r="N7">
        <v>30</v>
      </c>
      <c r="O7">
        <f t="shared" si="1"/>
        <v>300</v>
      </c>
      <c r="P7">
        <v>25.215290780456801</v>
      </c>
      <c r="Q7">
        <v>3.6854819999999999</v>
      </c>
      <c r="U7" t="s">
        <v>14</v>
      </c>
      <c r="V7">
        <v>222</v>
      </c>
      <c r="W7">
        <v>30</v>
      </c>
      <c r="X7">
        <f t="shared" si="2"/>
        <v>300</v>
      </c>
      <c r="Y7">
        <v>25.0274449764315</v>
      </c>
      <c r="Z7">
        <v>3.9148209999999999</v>
      </c>
    </row>
    <row r="8" spans="3:26" x14ac:dyDescent="0.25">
      <c r="C8" t="s">
        <v>14</v>
      </c>
      <c r="D8">
        <v>12</v>
      </c>
      <c r="E8">
        <v>40</v>
      </c>
      <c r="F8">
        <f t="shared" si="0"/>
        <v>400</v>
      </c>
      <c r="G8">
        <v>22.4279669536363</v>
      </c>
      <c r="H8">
        <v>4.6805760000000003</v>
      </c>
      <c r="L8" t="s">
        <v>14</v>
      </c>
      <c r="M8">
        <v>897</v>
      </c>
      <c r="N8">
        <v>40</v>
      </c>
      <c r="O8">
        <f t="shared" si="1"/>
        <v>400</v>
      </c>
      <c r="P8">
        <v>23.791903155583601</v>
      </c>
      <c r="Q8">
        <v>4.6287760000000002</v>
      </c>
      <c r="U8" t="s">
        <v>14</v>
      </c>
      <c r="V8">
        <v>222</v>
      </c>
      <c r="W8">
        <v>40</v>
      </c>
      <c r="X8">
        <f t="shared" si="2"/>
        <v>400</v>
      </c>
      <c r="Y8">
        <v>24.158735130023398</v>
      </c>
      <c r="Z8">
        <v>4.6456569999999999</v>
      </c>
    </row>
    <row r="9" spans="3:26" x14ac:dyDescent="0.25">
      <c r="C9" t="s">
        <v>14</v>
      </c>
      <c r="D9">
        <v>12</v>
      </c>
      <c r="E9">
        <v>50</v>
      </c>
      <c r="F9">
        <f t="shared" si="0"/>
        <v>500</v>
      </c>
      <c r="G9">
        <v>14.706233178372701</v>
      </c>
      <c r="H9">
        <v>6.7667919999999997</v>
      </c>
      <c r="L9" t="s">
        <v>14</v>
      </c>
      <c r="M9">
        <v>897</v>
      </c>
      <c r="N9">
        <v>50</v>
      </c>
      <c r="O9">
        <f t="shared" si="1"/>
        <v>500</v>
      </c>
      <c r="P9">
        <v>10.5884916115577</v>
      </c>
      <c r="Q9">
        <v>6.3287659999999999</v>
      </c>
      <c r="U9" t="s">
        <v>14</v>
      </c>
      <c r="V9">
        <v>222</v>
      </c>
      <c r="W9">
        <v>50</v>
      </c>
      <c r="X9">
        <f t="shared" si="2"/>
        <v>500</v>
      </c>
      <c r="Y9">
        <v>11.138059249209199</v>
      </c>
      <c r="Z9">
        <v>6.9251709999999997</v>
      </c>
    </row>
    <row r="10" spans="3:26" x14ac:dyDescent="0.25">
      <c r="C10" s="1" t="s">
        <v>14</v>
      </c>
      <c r="D10" s="1">
        <v>12</v>
      </c>
      <c r="E10" s="1">
        <v>60</v>
      </c>
      <c r="F10" s="1">
        <f t="shared" si="0"/>
        <v>600</v>
      </c>
      <c r="G10" s="1">
        <v>5.6381415644590804</v>
      </c>
      <c r="H10" s="1">
        <v>8.4595520000000004</v>
      </c>
      <c r="L10" s="1" t="s">
        <v>14</v>
      </c>
      <c r="M10" s="1">
        <v>897</v>
      </c>
      <c r="N10" s="1">
        <v>60</v>
      </c>
      <c r="O10" s="1">
        <f t="shared" si="1"/>
        <v>600</v>
      </c>
      <c r="P10" s="1">
        <v>4.11634455167294</v>
      </c>
      <c r="Q10" s="1">
        <v>8.4073530000000005</v>
      </c>
      <c r="U10" s="1" t="s">
        <v>14</v>
      </c>
      <c r="V10" s="1">
        <v>222</v>
      </c>
      <c r="W10" s="1">
        <v>60</v>
      </c>
      <c r="X10" s="1">
        <f t="shared" si="2"/>
        <v>600</v>
      </c>
      <c r="Y10" s="1">
        <v>4.3926926307742598</v>
      </c>
      <c r="Z10" s="1">
        <v>10.012090000000001</v>
      </c>
    </row>
    <row r="14" spans="3:26" x14ac:dyDescent="0.25">
      <c r="C14" t="s">
        <v>4</v>
      </c>
      <c r="D14" t="s">
        <v>24</v>
      </c>
      <c r="E14" t="s">
        <v>21</v>
      </c>
      <c r="F14" t="s">
        <v>22</v>
      </c>
      <c r="G14" t="s">
        <v>3</v>
      </c>
      <c r="H14" t="s">
        <v>23</v>
      </c>
      <c r="L14" t="s">
        <v>4</v>
      </c>
      <c r="M14" t="s">
        <v>24</v>
      </c>
      <c r="N14" t="s">
        <v>21</v>
      </c>
      <c r="O14" t="s">
        <v>22</v>
      </c>
      <c r="P14" t="s">
        <v>3</v>
      </c>
      <c r="Q14" t="s">
        <v>23</v>
      </c>
      <c r="U14" t="s">
        <v>4</v>
      </c>
      <c r="V14" t="s">
        <v>24</v>
      </c>
      <c r="W14" t="s">
        <v>21</v>
      </c>
      <c r="X14" t="s">
        <v>22</v>
      </c>
      <c r="Y14" t="s">
        <v>3</v>
      </c>
      <c r="Z14" t="s">
        <v>23</v>
      </c>
    </row>
    <row r="15" spans="3:26" x14ac:dyDescent="0.25">
      <c r="C15" t="s">
        <v>15</v>
      </c>
      <c r="D15">
        <v>12</v>
      </c>
      <c r="E15">
        <v>10</v>
      </c>
      <c r="F15">
        <f t="shared" ref="F15:F20" si="3">E15*10</f>
        <v>100</v>
      </c>
      <c r="G15">
        <v>131.92761749275101</v>
      </c>
      <c r="H15">
        <v>2.4925329999999999</v>
      </c>
      <c r="L15" t="s">
        <v>15</v>
      </c>
      <c r="M15">
        <v>897</v>
      </c>
      <c r="N15">
        <v>10</v>
      </c>
      <c r="O15">
        <f t="shared" ref="O15:O20" si="4">N15*10</f>
        <v>100</v>
      </c>
      <c r="P15">
        <v>162.42293833171701</v>
      </c>
      <c r="Q15">
        <v>2.507701</v>
      </c>
      <c r="U15" t="s">
        <v>15</v>
      </c>
      <c r="V15">
        <v>222</v>
      </c>
      <c r="W15">
        <v>10</v>
      </c>
      <c r="X15">
        <f t="shared" ref="X15:X20" si="5">W15*10</f>
        <v>100</v>
      </c>
      <c r="Y15">
        <v>166.02296302304299</v>
      </c>
      <c r="Z15">
        <v>2.7786970000000002</v>
      </c>
    </row>
    <row r="16" spans="3:26" x14ac:dyDescent="0.25">
      <c r="C16" t="s">
        <v>15</v>
      </c>
      <c r="D16">
        <v>12</v>
      </c>
      <c r="E16">
        <v>20</v>
      </c>
      <c r="F16">
        <f t="shared" si="3"/>
        <v>200</v>
      </c>
      <c r="G16">
        <v>60.218836903454097</v>
      </c>
      <c r="H16">
        <v>2.9884019999999998</v>
      </c>
      <c r="L16" t="s">
        <v>15</v>
      </c>
      <c r="M16">
        <v>897</v>
      </c>
      <c r="N16">
        <v>20</v>
      </c>
      <c r="O16">
        <f t="shared" si="4"/>
        <v>200</v>
      </c>
      <c r="P16">
        <v>96.058627624995097</v>
      </c>
      <c r="Q16">
        <v>3.068695</v>
      </c>
      <c r="U16" t="s">
        <v>15</v>
      </c>
      <c r="V16">
        <v>222</v>
      </c>
      <c r="W16">
        <v>20</v>
      </c>
      <c r="X16">
        <f t="shared" si="5"/>
        <v>200</v>
      </c>
      <c r="Y16">
        <v>103.561007845657</v>
      </c>
      <c r="Z16">
        <v>2.9112749999999998</v>
      </c>
    </row>
    <row r="17" spans="3:26" x14ac:dyDescent="0.25">
      <c r="C17" t="s">
        <v>15</v>
      </c>
      <c r="D17">
        <v>12</v>
      </c>
      <c r="E17">
        <v>30</v>
      </c>
      <c r="F17">
        <f t="shared" si="3"/>
        <v>300</v>
      </c>
      <c r="G17">
        <v>36.570089432438103</v>
      </c>
      <c r="H17">
        <v>3.7124990000000002</v>
      </c>
      <c r="L17" t="s">
        <v>15</v>
      </c>
      <c r="M17">
        <v>897</v>
      </c>
      <c r="N17">
        <v>30</v>
      </c>
      <c r="O17">
        <f t="shared" si="4"/>
        <v>300</v>
      </c>
      <c r="P17">
        <v>44.219263578304997</v>
      </c>
      <c r="Q17">
        <v>3.956874</v>
      </c>
      <c r="U17" t="s">
        <v>15</v>
      </c>
      <c r="V17">
        <v>222</v>
      </c>
      <c r="W17">
        <v>30</v>
      </c>
      <c r="X17">
        <f t="shared" si="5"/>
        <v>300</v>
      </c>
      <c r="Y17">
        <v>24.1356326143096</v>
      </c>
      <c r="Z17">
        <v>3.726909</v>
      </c>
    </row>
    <row r="18" spans="3:26" x14ac:dyDescent="0.25">
      <c r="C18" t="s">
        <v>15</v>
      </c>
      <c r="D18">
        <v>12</v>
      </c>
      <c r="E18">
        <v>40</v>
      </c>
      <c r="F18">
        <f t="shared" si="3"/>
        <v>400</v>
      </c>
      <c r="G18">
        <v>82.169498699368106</v>
      </c>
      <c r="H18">
        <v>4.7797409999999996</v>
      </c>
      <c r="L18" t="s">
        <v>15</v>
      </c>
      <c r="M18">
        <v>897</v>
      </c>
      <c r="N18">
        <v>40</v>
      </c>
      <c r="O18">
        <f t="shared" si="4"/>
        <v>400</v>
      </c>
      <c r="P18">
        <v>32.777738925899001</v>
      </c>
      <c r="Q18">
        <v>4.7163149999999998</v>
      </c>
      <c r="U18" t="s">
        <v>15</v>
      </c>
      <c r="V18">
        <v>222</v>
      </c>
      <c r="W18">
        <v>40</v>
      </c>
      <c r="X18">
        <f t="shared" si="5"/>
        <v>400</v>
      </c>
      <c r="Y18">
        <v>27.229477707662401</v>
      </c>
      <c r="Z18">
        <v>4.7542780000000002</v>
      </c>
    </row>
    <row r="19" spans="3:26" x14ac:dyDescent="0.25">
      <c r="C19" t="s">
        <v>15</v>
      </c>
      <c r="D19">
        <v>12</v>
      </c>
      <c r="E19">
        <v>50</v>
      </c>
      <c r="F19">
        <f t="shared" si="3"/>
        <v>500</v>
      </c>
      <c r="G19">
        <v>37.995272424315402</v>
      </c>
      <c r="H19">
        <v>6.182734</v>
      </c>
      <c r="L19" t="s">
        <v>15</v>
      </c>
      <c r="M19">
        <v>897</v>
      </c>
      <c r="N19">
        <v>50</v>
      </c>
      <c r="O19">
        <f t="shared" si="4"/>
        <v>500</v>
      </c>
      <c r="P19">
        <v>25.503647118140901</v>
      </c>
      <c r="Q19">
        <v>6.2737170000000004</v>
      </c>
      <c r="U19" t="s">
        <v>15</v>
      </c>
      <c r="V19">
        <v>222</v>
      </c>
      <c r="W19">
        <v>50</v>
      </c>
      <c r="X19">
        <f t="shared" si="5"/>
        <v>500</v>
      </c>
      <c r="Y19">
        <v>18.9943607818097</v>
      </c>
      <c r="Z19">
        <v>6.3167879999999998</v>
      </c>
    </row>
    <row r="20" spans="3:26" x14ac:dyDescent="0.25">
      <c r="C20" s="1" t="s">
        <v>15</v>
      </c>
      <c r="D20" s="1">
        <v>12</v>
      </c>
      <c r="E20" s="1">
        <v>60</v>
      </c>
      <c r="F20" s="1">
        <f t="shared" si="3"/>
        <v>600</v>
      </c>
      <c r="G20" s="1">
        <v>6.8553692018515999</v>
      </c>
      <c r="H20" s="1">
        <v>8.3935040000000001</v>
      </c>
      <c r="L20" s="1" t="s">
        <v>15</v>
      </c>
      <c r="M20" s="1">
        <v>897</v>
      </c>
      <c r="N20" s="1">
        <v>60</v>
      </c>
      <c r="O20" s="1">
        <f t="shared" si="4"/>
        <v>600</v>
      </c>
      <c r="P20" s="1">
        <v>6.0325239234353596</v>
      </c>
      <c r="Q20" s="1">
        <v>8.5444879999999994</v>
      </c>
      <c r="U20" s="1" t="s">
        <v>15</v>
      </c>
      <c r="V20" s="1">
        <v>222</v>
      </c>
      <c r="W20" s="1">
        <v>60</v>
      </c>
      <c r="X20" s="1">
        <f t="shared" si="5"/>
        <v>600</v>
      </c>
      <c r="Y20" s="1">
        <v>8.1366241544196907</v>
      </c>
      <c r="Z20" s="1">
        <v>8.6967400000000001</v>
      </c>
    </row>
    <row r="24" spans="3:26" x14ac:dyDescent="0.25">
      <c r="C24" t="s">
        <v>4</v>
      </c>
      <c r="D24" t="s">
        <v>24</v>
      </c>
      <c r="E24" t="s">
        <v>21</v>
      </c>
      <c r="F24" t="s">
        <v>22</v>
      </c>
      <c r="G24" t="s">
        <v>3</v>
      </c>
      <c r="H24" t="s">
        <v>23</v>
      </c>
      <c r="L24" t="s">
        <v>4</v>
      </c>
      <c r="M24" t="s">
        <v>24</v>
      </c>
      <c r="N24" t="s">
        <v>21</v>
      </c>
      <c r="O24" t="s">
        <v>22</v>
      </c>
      <c r="P24" t="s">
        <v>3</v>
      </c>
      <c r="Q24" t="s">
        <v>23</v>
      </c>
      <c r="U24" t="s">
        <v>4</v>
      </c>
      <c r="V24" t="s">
        <v>24</v>
      </c>
      <c r="W24" t="s">
        <v>21</v>
      </c>
      <c r="X24" t="s">
        <v>22</v>
      </c>
      <c r="Y24" t="s">
        <v>3</v>
      </c>
      <c r="Z24" t="s">
        <v>23</v>
      </c>
    </row>
    <row r="25" spans="3:26" x14ac:dyDescent="0.25">
      <c r="C25" t="s">
        <v>20</v>
      </c>
      <c r="D25">
        <v>12</v>
      </c>
      <c r="E25">
        <v>10</v>
      </c>
      <c r="F25">
        <f>E25*10</f>
        <v>100</v>
      </c>
      <c r="G25">
        <v>22.6636910521263</v>
      </c>
      <c r="H25">
        <v>4.2159069999999996</v>
      </c>
      <c r="L25" t="s">
        <v>20</v>
      </c>
      <c r="M25">
        <v>897</v>
      </c>
      <c r="N25">
        <v>10</v>
      </c>
      <c r="O25">
        <f>N25*10</f>
        <v>100</v>
      </c>
      <c r="P25">
        <v>27.096439688693302</v>
      </c>
      <c r="Q25">
        <v>4.5669490000000001</v>
      </c>
      <c r="U25" t="s">
        <v>20</v>
      </c>
      <c r="V25">
        <v>222</v>
      </c>
      <c r="W25">
        <v>10</v>
      </c>
      <c r="X25">
        <f>W25*10</f>
        <v>100</v>
      </c>
      <c r="Y25">
        <v>23.349618817979199</v>
      </c>
      <c r="Z25">
        <v>4.5942499999999997</v>
      </c>
    </row>
    <row r="26" spans="3:26" x14ac:dyDescent="0.25">
      <c r="C26" t="s">
        <v>20</v>
      </c>
      <c r="D26">
        <v>12</v>
      </c>
      <c r="E26">
        <v>20</v>
      </c>
      <c r="F26">
        <f>E26*10</f>
        <v>200</v>
      </c>
      <c r="G26">
        <v>12.168630425688701</v>
      </c>
      <c r="H26">
        <v>5.576975</v>
      </c>
      <c r="L26" t="s">
        <v>20</v>
      </c>
      <c r="M26">
        <v>897</v>
      </c>
      <c r="N26">
        <v>20</v>
      </c>
      <c r="O26">
        <f>N26*10</f>
        <v>200</v>
      </c>
      <c r="P26">
        <v>15.307652480826601</v>
      </c>
      <c r="Q26">
        <v>5.6652430000000003</v>
      </c>
      <c r="U26" t="s">
        <v>20</v>
      </c>
      <c r="V26">
        <v>222</v>
      </c>
      <c r="W26">
        <v>20</v>
      </c>
      <c r="X26">
        <f>W26*10</f>
        <v>200</v>
      </c>
      <c r="Y26">
        <v>11.4938022749695</v>
      </c>
      <c r="Z26">
        <v>5.8647</v>
      </c>
    </row>
    <row r="27" spans="3:26" x14ac:dyDescent="0.25">
      <c r="C27" t="s">
        <v>20</v>
      </c>
      <c r="D27">
        <v>12</v>
      </c>
      <c r="E27">
        <v>30</v>
      </c>
      <c r="F27">
        <f>E27*10</f>
        <v>300</v>
      </c>
      <c r="G27">
        <v>11.8590753482246</v>
      </c>
      <c r="H27">
        <v>6.9669970000000001</v>
      </c>
      <c r="L27" t="s">
        <v>20</v>
      </c>
      <c r="M27">
        <v>897</v>
      </c>
      <c r="N27">
        <v>30</v>
      </c>
      <c r="O27">
        <f>N27*10</f>
        <v>300</v>
      </c>
      <c r="P27">
        <v>10.881758671678</v>
      </c>
      <c r="Q27">
        <v>7.5960400000000003</v>
      </c>
      <c r="U27" t="s">
        <v>20</v>
      </c>
      <c r="V27">
        <v>222</v>
      </c>
      <c r="W27">
        <v>30</v>
      </c>
      <c r="X27">
        <f>W27*10</f>
        <v>300</v>
      </c>
      <c r="Y27">
        <v>14.3584305208249</v>
      </c>
      <c r="Z27">
        <v>7.2149549999999998</v>
      </c>
    </row>
    <row r="28" spans="3:26" x14ac:dyDescent="0.25">
      <c r="C28" s="1" t="s">
        <v>20</v>
      </c>
      <c r="D28" s="1">
        <v>12</v>
      </c>
      <c r="E28" s="1">
        <v>40</v>
      </c>
      <c r="F28" s="1">
        <f>E28*10</f>
        <v>400</v>
      </c>
      <c r="G28" s="1">
        <v>6.7045704149508003</v>
      </c>
      <c r="H28" s="1">
        <v>9.2710620000000006</v>
      </c>
      <c r="L28" s="1" t="s">
        <v>20</v>
      </c>
      <c r="M28" s="1">
        <v>897</v>
      </c>
      <c r="N28" s="1">
        <v>40</v>
      </c>
      <c r="O28" s="1">
        <f>N28*10</f>
        <v>400</v>
      </c>
      <c r="P28" s="1">
        <v>6.8181044849883303</v>
      </c>
      <c r="Q28" s="1">
        <v>9.1190800000000003</v>
      </c>
      <c r="U28" s="1" t="s">
        <v>20</v>
      </c>
      <c r="V28" s="1">
        <v>222</v>
      </c>
      <c r="W28" s="1">
        <v>40</v>
      </c>
      <c r="X28" s="1">
        <f>W28*10</f>
        <v>400</v>
      </c>
      <c r="Y28" s="1">
        <v>7.5177077103716199</v>
      </c>
      <c r="Z28" s="1">
        <v>9.3749260000000003</v>
      </c>
    </row>
    <row r="32" spans="3:26" x14ac:dyDescent="0.25">
      <c r="C32" t="s">
        <v>4</v>
      </c>
      <c r="D32" t="s">
        <v>24</v>
      </c>
      <c r="E32" t="s">
        <v>21</v>
      </c>
      <c r="F32" t="s">
        <v>22</v>
      </c>
      <c r="G32" t="s">
        <v>3</v>
      </c>
      <c r="H32" t="s">
        <v>23</v>
      </c>
      <c r="L32" t="s">
        <v>4</v>
      </c>
      <c r="M32" t="s">
        <v>24</v>
      </c>
      <c r="N32" t="s">
        <v>21</v>
      </c>
      <c r="O32" t="s">
        <v>22</v>
      </c>
      <c r="P32" t="s">
        <v>3</v>
      </c>
      <c r="Q32" t="s">
        <v>23</v>
      </c>
      <c r="U32" t="s">
        <v>4</v>
      </c>
      <c r="V32" t="s">
        <v>24</v>
      </c>
      <c r="W32" t="s">
        <v>21</v>
      </c>
      <c r="X32" t="s">
        <v>22</v>
      </c>
      <c r="Y32" t="s">
        <v>3</v>
      </c>
      <c r="Z32" t="s">
        <v>23</v>
      </c>
    </row>
    <row r="33" spans="3:26" x14ac:dyDescent="0.25">
      <c r="C33" t="s">
        <v>17</v>
      </c>
      <c r="D33">
        <v>12</v>
      </c>
      <c r="E33">
        <v>10</v>
      </c>
      <c r="F33">
        <f>E33*10</f>
        <v>100</v>
      </c>
      <c r="G33">
        <v>17.437428729790199</v>
      </c>
      <c r="H33">
        <v>3.758569</v>
      </c>
      <c r="L33" t="s">
        <v>17</v>
      </c>
      <c r="M33">
        <v>897</v>
      </c>
      <c r="N33">
        <v>10</v>
      </c>
      <c r="O33">
        <f>N33*10</f>
        <v>100</v>
      </c>
      <c r="P33">
        <v>22.444398110988899</v>
      </c>
      <c r="Q33">
        <v>3.7390430000000001</v>
      </c>
      <c r="U33" t="s">
        <v>17</v>
      </c>
      <c r="V33">
        <v>222</v>
      </c>
      <c r="W33">
        <v>10</v>
      </c>
      <c r="X33">
        <f>W33*10</f>
        <v>100</v>
      </c>
      <c r="Y33">
        <v>27.804868078970799</v>
      </c>
      <c r="Z33">
        <v>3.7979180000000001</v>
      </c>
    </row>
    <row r="34" spans="3:26" x14ac:dyDescent="0.25">
      <c r="C34" s="1" t="s">
        <v>17</v>
      </c>
      <c r="D34" s="1">
        <v>12</v>
      </c>
      <c r="E34" s="1">
        <v>20</v>
      </c>
      <c r="F34" s="1">
        <f>E34*10</f>
        <v>200</v>
      </c>
      <c r="G34" s="1">
        <v>1.44747094780893</v>
      </c>
      <c r="H34" s="1">
        <v>4.5261129999999996</v>
      </c>
      <c r="L34" s="1" t="s">
        <v>17</v>
      </c>
      <c r="M34" s="1">
        <v>897</v>
      </c>
      <c r="N34" s="1">
        <v>20</v>
      </c>
      <c r="O34" s="1">
        <f>N34*10</f>
        <v>200</v>
      </c>
      <c r="P34" s="1">
        <v>2.1110882277136001</v>
      </c>
      <c r="Q34" s="1">
        <v>4.509309</v>
      </c>
      <c r="U34" s="1" t="s">
        <v>17</v>
      </c>
      <c r="V34" s="1">
        <v>222</v>
      </c>
      <c r="W34" s="1">
        <v>20</v>
      </c>
      <c r="X34" s="1">
        <f>W34*10</f>
        <v>200</v>
      </c>
      <c r="Y34" s="1">
        <v>1.1537846969408501</v>
      </c>
      <c r="Z34" s="1">
        <v>4.4045730000000001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7D49-CCEC-4FA1-94E3-B198721AA3CE}">
  <dimension ref="A4:AL29"/>
  <sheetViews>
    <sheetView workbookViewId="0">
      <selection activeCell="N28" sqref="N28"/>
    </sheetView>
  </sheetViews>
  <sheetFormatPr defaultRowHeight="15" x14ac:dyDescent="0.25"/>
  <cols>
    <col min="5" max="5" width="14.7109375" bestFit="1" customWidth="1"/>
    <col min="7" max="7" width="14.7109375" bestFit="1" customWidth="1"/>
    <col min="9" max="9" width="14.7109375" bestFit="1" customWidth="1"/>
  </cols>
  <sheetData>
    <row r="4" spans="1:38" x14ac:dyDescent="0.25">
      <c r="C4" t="s">
        <v>26</v>
      </c>
      <c r="P4" t="s">
        <v>37</v>
      </c>
      <c r="AC4" t="s">
        <v>38</v>
      </c>
    </row>
    <row r="6" spans="1:38" x14ac:dyDescent="0.25">
      <c r="C6" t="s">
        <v>4</v>
      </c>
      <c r="D6" t="s">
        <v>21</v>
      </c>
      <c r="E6" t="s">
        <v>27</v>
      </c>
      <c r="F6" t="s">
        <v>32</v>
      </c>
      <c r="G6" t="s">
        <v>28</v>
      </c>
      <c r="H6" t="s">
        <v>33</v>
      </c>
      <c r="I6" t="s">
        <v>29</v>
      </c>
      <c r="J6" t="s">
        <v>34</v>
      </c>
      <c r="K6" t="s">
        <v>35</v>
      </c>
      <c r="L6" t="s">
        <v>36</v>
      </c>
      <c r="P6" t="s">
        <v>4</v>
      </c>
      <c r="Q6" t="s">
        <v>21</v>
      </c>
      <c r="R6" t="s">
        <v>27</v>
      </c>
      <c r="S6" t="s">
        <v>32</v>
      </c>
      <c r="T6" t="s">
        <v>28</v>
      </c>
      <c r="U6" t="s">
        <v>33</v>
      </c>
      <c r="V6" t="s">
        <v>29</v>
      </c>
      <c r="W6" t="s">
        <v>34</v>
      </c>
      <c r="X6" t="s">
        <v>35</v>
      </c>
      <c r="Y6" t="s">
        <v>36</v>
      </c>
      <c r="AC6" t="s">
        <v>4</v>
      </c>
      <c r="AD6" t="s">
        <v>21</v>
      </c>
      <c r="AE6" t="s">
        <v>27</v>
      </c>
      <c r="AF6" t="s">
        <v>32</v>
      </c>
      <c r="AG6" t="s">
        <v>28</v>
      </c>
      <c r="AH6" t="s">
        <v>33</v>
      </c>
      <c r="AI6" t="s">
        <v>29</v>
      </c>
      <c r="AJ6" t="s">
        <v>34</v>
      </c>
      <c r="AK6" t="s">
        <v>35</v>
      </c>
      <c r="AL6" t="s">
        <v>36</v>
      </c>
    </row>
    <row r="7" spans="1:38" x14ac:dyDescent="0.25">
      <c r="C7" t="s">
        <v>30</v>
      </c>
      <c r="D7">
        <v>20</v>
      </c>
      <c r="E7">
        <v>25.9</v>
      </c>
      <c r="F7">
        <v>4.3899999999999997</v>
      </c>
      <c r="G7">
        <v>23.9</v>
      </c>
      <c r="H7">
        <v>3.5</v>
      </c>
      <c r="I7">
        <v>24.6</v>
      </c>
      <c r="J7">
        <v>3.91</v>
      </c>
      <c r="K7">
        <f t="shared" ref="K7:L11" si="0">AVERAGE(E7,G7,I7)</f>
        <v>24.8</v>
      </c>
      <c r="L7">
        <f t="shared" si="0"/>
        <v>3.9333333333333336</v>
      </c>
      <c r="P7" t="s">
        <v>30</v>
      </c>
      <c r="Q7">
        <v>20</v>
      </c>
      <c r="R7">
        <v>36.1</v>
      </c>
      <c r="S7">
        <v>3.12</v>
      </c>
      <c r="T7">
        <v>29.4</v>
      </c>
      <c r="U7">
        <v>3.21</v>
      </c>
      <c r="V7">
        <v>31.7</v>
      </c>
      <c r="W7">
        <v>3.42</v>
      </c>
      <c r="X7">
        <f t="shared" ref="X7:Y11" si="1">AVERAGE(R7,T7,V7)</f>
        <v>32.4</v>
      </c>
      <c r="Y7">
        <f t="shared" si="1"/>
        <v>3.25</v>
      </c>
      <c r="AC7" t="s">
        <v>30</v>
      </c>
      <c r="AD7">
        <v>20</v>
      </c>
      <c r="AE7">
        <v>27.4</v>
      </c>
      <c r="AF7">
        <v>3.54</v>
      </c>
      <c r="AG7">
        <v>30.4</v>
      </c>
      <c r="AH7">
        <v>3.74</v>
      </c>
      <c r="AI7">
        <v>31.9</v>
      </c>
      <c r="AJ7">
        <v>3.13</v>
      </c>
      <c r="AK7">
        <f t="shared" ref="AK7:AL11" si="2">AVERAGE(AE7,AG7,AI7)</f>
        <v>29.899999999999995</v>
      </c>
      <c r="AL7">
        <f t="shared" si="2"/>
        <v>3.47</v>
      </c>
    </row>
    <row r="8" spans="1:38" x14ac:dyDescent="0.25">
      <c r="C8" t="s">
        <v>31</v>
      </c>
      <c r="D8">
        <v>30</v>
      </c>
      <c r="E8">
        <v>33.799999999999997</v>
      </c>
      <c r="F8">
        <v>5.94</v>
      </c>
      <c r="G8">
        <v>34.9</v>
      </c>
      <c r="H8">
        <v>4.5</v>
      </c>
      <c r="I8">
        <v>31.9</v>
      </c>
      <c r="J8">
        <v>4.3899999999999997</v>
      </c>
      <c r="K8">
        <f t="shared" si="0"/>
        <v>33.533333333333331</v>
      </c>
      <c r="L8">
        <f t="shared" si="0"/>
        <v>4.9433333333333342</v>
      </c>
      <c r="P8" t="s">
        <v>30</v>
      </c>
      <c r="Q8">
        <v>30</v>
      </c>
      <c r="R8">
        <v>32.299999999999997</v>
      </c>
      <c r="S8">
        <v>4.41</v>
      </c>
      <c r="T8">
        <v>34.5</v>
      </c>
      <c r="U8">
        <v>4.92</v>
      </c>
      <c r="V8">
        <v>34</v>
      </c>
      <c r="W8">
        <v>3.9</v>
      </c>
      <c r="X8">
        <f t="shared" si="1"/>
        <v>33.6</v>
      </c>
      <c r="Y8">
        <f t="shared" si="1"/>
        <v>4.41</v>
      </c>
      <c r="AC8" t="s">
        <v>30</v>
      </c>
      <c r="AD8">
        <v>30</v>
      </c>
      <c r="AE8">
        <v>32.200000000000003</v>
      </c>
      <c r="AF8">
        <v>3.99</v>
      </c>
      <c r="AG8">
        <v>32.4</v>
      </c>
      <c r="AH8">
        <v>3.62</v>
      </c>
      <c r="AI8">
        <v>32.4</v>
      </c>
      <c r="AJ8">
        <v>3.85</v>
      </c>
      <c r="AK8">
        <f t="shared" si="2"/>
        <v>32.333333333333336</v>
      </c>
      <c r="AL8">
        <f t="shared" si="2"/>
        <v>3.8200000000000003</v>
      </c>
    </row>
    <row r="9" spans="1:38" x14ac:dyDescent="0.25">
      <c r="C9" t="s">
        <v>30</v>
      </c>
      <c r="D9">
        <v>40</v>
      </c>
      <c r="E9">
        <v>25.1</v>
      </c>
      <c r="F9">
        <v>5.91</v>
      </c>
      <c r="G9">
        <v>27.4</v>
      </c>
      <c r="H9">
        <v>5.86</v>
      </c>
      <c r="I9">
        <v>24.9</v>
      </c>
      <c r="J9">
        <v>5.95</v>
      </c>
      <c r="K9">
        <f t="shared" si="0"/>
        <v>25.8</v>
      </c>
      <c r="L9">
        <f t="shared" si="0"/>
        <v>5.9066666666666663</v>
      </c>
      <c r="P9" t="s">
        <v>30</v>
      </c>
      <c r="Q9">
        <v>40</v>
      </c>
      <c r="R9">
        <v>31.5</v>
      </c>
      <c r="S9">
        <v>5.07</v>
      </c>
      <c r="T9">
        <v>33.5</v>
      </c>
      <c r="U9">
        <v>5.0199999999999996</v>
      </c>
      <c r="V9">
        <v>31.1</v>
      </c>
      <c r="W9">
        <v>4.84</v>
      </c>
      <c r="X9">
        <f t="shared" si="1"/>
        <v>32.033333333333331</v>
      </c>
      <c r="Y9">
        <f t="shared" si="1"/>
        <v>4.9766666666666666</v>
      </c>
      <c r="AC9" t="s">
        <v>30</v>
      </c>
      <c r="AD9">
        <v>40</v>
      </c>
      <c r="AE9">
        <v>29.5</v>
      </c>
      <c r="AF9">
        <v>4.96</v>
      </c>
      <c r="AG9">
        <v>30.7</v>
      </c>
      <c r="AH9">
        <v>5.23</v>
      </c>
      <c r="AI9">
        <v>30.9</v>
      </c>
      <c r="AJ9">
        <v>5.44</v>
      </c>
      <c r="AK9">
        <f t="shared" si="2"/>
        <v>30.366666666666664</v>
      </c>
      <c r="AL9">
        <f t="shared" si="2"/>
        <v>5.2100000000000009</v>
      </c>
    </row>
    <row r="10" spans="1:38" x14ac:dyDescent="0.25">
      <c r="A10" t="s">
        <v>39</v>
      </c>
      <c r="C10" t="s">
        <v>30</v>
      </c>
      <c r="D10">
        <v>50</v>
      </c>
      <c r="E10">
        <v>13</v>
      </c>
      <c r="F10">
        <v>8.5399999999999991</v>
      </c>
      <c r="G10">
        <v>15.2</v>
      </c>
      <c r="H10">
        <v>7.92</v>
      </c>
      <c r="I10">
        <v>15.8</v>
      </c>
      <c r="J10">
        <v>7.87</v>
      </c>
      <c r="K10">
        <f t="shared" si="0"/>
        <v>14.666666666666666</v>
      </c>
      <c r="L10">
        <f t="shared" si="0"/>
        <v>8.1100000000000012</v>
      </c>
      <c r="P10" t="s">
        <v>30</v>
      </c>
      <c r="Q10">
        <v>50</v>
      </c>
      <c r="R10">
        <v>10.9</v>
      </c>
      <c r="S10">
        <v>6.78</v>
      </c>
      <c r="T10">
        <v>11.5</v>
      </c>
      <c r="U10">
        <v>7.08</v>
      </c>
      <c r="V10">
        <v>11.3</v>
      </c>
      <c r="W10">
        <v>6.5</v>
      </c>
      <c r="X10">
        <f t="shared" si="1"/>
        <v>11.233333333333334</v>
      </c>
      <c r="Y10">
        <f t="shared" si="1"/>
        <v>6.7866666666666662</v>
      </c>
      <c r="AC10" t="s">
        <v>30</v>
      </c>
      <c r="AD10">
        <v>50</v>
      </c>
      <c r="AE10">
        <v>12.8</v>
      </c>
      <c r="AF10">
        <v>7.25</v>
      </c>
      <c r="AG10">
        <v>11.2</v>
      </c>
      <c r="AH10">
        <v>6.39</v>
      </c>
      <c r="AI10">
        <v>12.3</v>
      </c>
      <c r="AJ10">
        <v>6.14</v>
      </c>
      <c r="AK10">
        <f t="shared" si="2"/>
        <v>12.1</v>
      </c>
      <c r="AL10">
        <f t="shared" si="2"/>
        <v>6.5933333333333337</v>
      </c>
    </row>
    <row r="11" spans="1:38" x14ac:dyDescent="0.25">
      <c r="A11">
        <f>AVERAGE(L11,Y11,AL11)</f>
        <v>9.3277777777777775</v>
      </c>
      <c r="C11" t="s">
        <v>30</v>
      </c>
      <c r="D11">
        <v>60</v>
      </c>
      <c r="E11">
        <v>6.33</v>
      </c>
      <c r="F11">
        <v>11.3</v>
      </c>
      <c r="G11">
        <v>5.96</v>
      </c>
      <c r="H11">
        <v>11.2</v>
      </c>
      <c r="I11">
        <v>5.74</v>
      </c>
      <c r="J11">
        <v>8.61</v>
      </c>
      <c r="K11">
        <f t="shared" si="0"/>
        <v>6.0100000000000007</v>
      </c>
      <c r="L11">
        <f t="shared" si="0"/>
        <v>10.37</v>
      </c>
      <c r="P11" t="s">
        <v>30</v>
      </c>
      <c r="Q11">
        <v>60</v>
      </c>
      <c r="R11">
        <v>7.37</v>
      </c>
      <c r="S11">
        <v>9.73</v>
      </c>
      <c r="T11">
        <v>6.57</v>
      </c>
      <c r="U11">
        <v>8.66</v>
      </c>
      <c r="V11">
        <v>6.86</v>
      </c>
      <c r="W11">
        <v>8.41</v>
      </c>
      <c r="X11">
        <f t="shared" si="1"/>
        <v>6.9333333333333336</v>
      </c>
      <c r="Y11">
        <f t="shared" si="1"/>
        <v>8.9333333333333336</v>
      </c>
      <c r="AC11" t="s">
        <v>30</v>
      </c>
      <c r="AD11">
        <v>60</v>
      </c>
      <c r="AE11">
        <v>5.58</v>
      </c>
      <c r="AF11">
        <v>9.01</v>
      </c>
      <c r="AG11">
        <v>6.01</v>
      </c>
      <c r="AH11">
        <v>8.69</v>
      </c>
      <c r="AI11">
        <v>6.19</v>
      </c>
      <c r="AJ11">
        <v>8.34</v>
      </c>
      <c r="AK11">
        <f t="shared" si="2"/>
        <v>5.9266666666666667</v>
      </c>
      <c r="AL11">
        <f t="shared" si="2"/>
        <v>8.68</v>
      </c>
    </row>
    <row r="14" spans="1:38" x14ac:dyDescent="0.25">
      <c r="A14" t="s">
        <v>39</v>
      </c>
      <c r="C14" t="s">
        <v>40</v>
      </c>
      <c r="D14">
        <v>20</v>
      </c>
      <c r="E14">
        <v>9.31</v>
      </c>
      <c r="F14">
        <v>6.86</v>
      </c>
      <c r="G14">
        <v>10.7</v>
      </c>
      <c r="H14">
        <v>5.36</v>
      </c>
      <c r="I14">
        <v>7.75</v>
      </c>
      <c r="J14">
        <v>5.37</v>
      </c>
      <c r="K14">
        <f t="shared" ref="K14:L16" si="3">AVERAGE(E14,G14,I14)</f>
        <v>9.2533333333333321</v>
      </c>
      <c r="L14">
        <f t="shared" si="3"/>
        <v>5.8633333333333333</v>
      </c>
      <c r="P14" t="s">
        <v>40</v>
      </c>
      <c r="Q14">
        <v>20</v>
      </c>
      <c r="R14">
        <v>6.4</v>
      </c>
      <c r="S14">
        <v>6.37</v>
      </c>
      <c r="T14">
        <v>6.76</v>
      </c>
      <c r="U14">
        <v>7.36</v>
      </c>
      <c r="V14">
        <v>8.74</v>
      </c>
      <c r="W14">
        <v>6.83</v>
      </c>
      <c r="X14">
        <f t="shared" ref="X14:Y16" si="4">AVERAGE(R14,T14,V14)</f>
        <v>7.3</v>
      </c>
      <c r="Y14">
        <f t="shared" si="4"/>
        <v>6.8533333333333344</v>
      </c>
      <c r="AC14" t="s">
        <v>40</v>
      </c>
      <c r="AD14">
        <v>20</v>
      </c>
      <c r="AE14">
        <v>11.6</v>
      </c>
      <c r="AF14">
        <v>6.48</v>
      </c>
      <c r="AG14">
        <v>10.7</v>
      </c>
      <c r="AH14">
        <v>6.16</v>
      </c>
      <c r="AI14">
        <v>9.31</v>
      </c>
      <c r="AJ14">
        <v>7.38</v>
      </c>
      <c r="AK14">
        <f t="shared" ref="AK14:AL16" si="5">AVERAGE(AE14,AG14,AI14)</f>
        <v>10.536666666666667</v>
      </c>
      <c r="AL14">
        <f t="shared" si="5"/>
        <v>6.6733333333333329</v>
      </c>
    </row>
    <row r="15" spans="1:38" x14ac:dyDescent="0.25">
      <c r="A15">
        <f>AVERAGE(L14,Y14,AL14)</f>
        <v>6.4633333333333338</v>
      </c>
      <c r="C15" t="s">
        <v>40</v>
      </c>
      <c r="D15">
        <v>30</v>
      </c>
      <c r="E15">
        <v>9.02</v>
      </c>
      <c r="F15">
        <v>5.83</v>
      </c>
      <c r="G15">
        <v>9.6199999999999992</v>
      </c>
      <c r="H15">
        <v>7.8</v>
      </c>
      <c r="I15">
        <v>8.06</v>
      </c>
      <c r="J15">
        <v>8.93</v>
      </c>
      <c r="K15">
        <f t="shared" si="3"/>
        <v>8.9</v>
      </c>
      <c r="L15">
        <f t="shared" si="3"/>
        <v>7.52</v>
      </c>
      <c r="P15" t="s">
        <v>40</v>
      </c>
      <c r="Q15">
        <v>30</v>
      </c>
      <c r="R15">
        <v>9.73</v>
      </c>
      <c r="S15">
        <v>9.15</v>
      </c>
      <c r="T15">
        <v>9.58</v>
      </c>
      <c r="U15">
        <v>8.49</v>
      </c>
      <c r="V15">
        <v>9.1199999999999992</v>
      </c>
      <c r="W15">
        <v>10.9</v>
      </c>
      <c r="X15">
        <f t="shared" si="4"/>
        <v>9.4766666666666666</v>
      </c>
      <c r="Y15">
        <f t="shared" si="4"/>
        <v>9.5133333333333336</v>
      </c>
      <c r="AC15" t="s">
        <v>40</v>
      </c>
      <c r="AD15">
        <v>30</v>
      </c>
      <c r="AE15">
        <v>14.3</v>
      </c>
      <c r="AF15">
        <v>7.94</v>
      </c>
      <c r="AG15">
        <v>13.4</v>
      </c>
      <c r="AH15">
        <v>7.81</v>
      </c>
      <c r="AI15">
        <v>13.5</v>
      </c>
      <c r="AJ15">
        <v>8.8699999999999992</v>
      </c>
      <c r="AK15">
        <f t="shared" si="5"/>
        <v>13.733333333333334</v>
      </c>
      <c r="AL15">
        <f t="shared" si="5"/>
        <v>8.2066666666666652</v>
      </c>
    </row>
    <row r="16" spans="1:38" x14ac:dyDescent="0.25">
      <c r="C16" t="s">
        <v>40</v>
      </c>
      <c r="D16">
        <v>40</v>
      </c>
      <c r="E16">
        <v>6.37</v>
      </c>
      <c r="F16">
        <v>8.58</v>
      </c>
      <c r="G16">
        <v>6.93</v>
      </c>
      <c r="H16">
        <v>8.2799999999999994</v>
      </c>
      <c r="I16">
        <v>6.01</v>
      </c>
      <c r="J16">
        <v>8.39</v>
      </c>
      <c r="K16">
        <f t="shared" si="3"/>
        <v>6.4366666666666674</v>
      </c>
      <c r="L16">
        <f t="shared" si="3"/>
        <v>8.4166666666666661</v>
      </c>
      <c r="P16" t="s">
        <v>40</v>
      </c>
      <c r="Q16">
        <v>40</v>
      </c>
      <c r="R16">
        <v>5.8</v>
      </c>
      <c r="S16">
        <v>10.4</v>
      </c>
      <c r="T16">
        <v>5.17</v>
      </c>
      <c r="U16">
        <v>8.58</v>
      </c>
      <c r="V16">
        <v>6.1</v>
      </c>
      <c r="W16">
        <v>8.85</v>
      </c>
      <c r="X16">
        <f t="shared" si="4"/>
        <v>5.69</v>
      </c>
      <c r="Y16">
        <f t="shared" si="4"/>
        <v>9.2766666666666655</v>
      </c>
      <c r="AC16" t="s">
        <v>40</v>
      </c>
      <c r="AD16">
        <v>40</v>
      </c>
      <c r="AE16">
        <v>7.16</v>
      </c>
      <c r="AF16">
        <v>10.199999999999999</v>
      </c>
      <c r="AG16">
        <v>8.91</v>
      </c>
      <c r="AH16">
        <v>10.199999999999999</v>
      </c>
      <c r="AI16">
        <v>6.66</v>
      </c>
      <c r="AJ16">
        <v>10.9</v>
      </c>
      <c r="AK16">
        <f t="shared" si="5"/>
        <v>7.5766666666666671</v>
      </c>
      <c r="AL16">
        <f t="shared" si="5"/>
        <v>10.433333333333332</v>
      </c>
    </row>
    <row r="18" spans="1:38" x14ac:dyDescent="0.25">
      <c r="A18" t="s">
        <v>39</v>
      </c>
    </row>
    <row r="19" spans="1:38" x14ac:dyDescent="0.25">
      <c r="A19">
        <f>AVERAGE(L19,Y19,AL19)</f>
        <v>4.3011111111111111</v>
      </c>
      <c r="C19" t="s">
        <v>41</v>
      </c>
      <c r="D19">
        <v>20</v>
      </c>
      <c r="E19">
        <v>1.27</v>
      </c>
      <c r="F19">
        <v>4.87</v>
      </c>
      <c r="G19">
        <v>1.0900000000000001</v>
      </c>
      <c r="H19">
        <v>4.07</v>
      </c>
      <c r="I19">
        <v>1.93</v>
      </c>
      <c r="J19">
        <v>4.2699999999999996</v>
      </c>
      <c r="K19">
        <f>AVERAGE(E19,G19,I19)</f>
        <v>1.43</v>
      </c>
      <c r="L19">
        <f>AVERAGE(F19,H19,J19)</f>
        <v>4.4033333333333333</v>
      </c>
      <c r="P19" t="s">
        <v>41</v>
      </c>
      <c r="Q19">
        <v>20</v>
      </c>
      <c r="R19">
        <v>1.1399999999999999</v>
      </c>
      <c r="S19">
        <v>4.33</v>
      </c>
      <c r="T19">
        <v>2.65</v>
      </c>
      <c r="U19">
        <v>4.18</v>
      </c>
      <c r="V19">
        <v>0.99199999999999999</v>
      </c>
      <c r="W19">
        <v>4.0999999999999996</v>
      </c>
      <c r="X19">
        <f>AVERAGE(R19,T19,V19)</f>
        <v>1.5940000000000001</v>
      </c>
      <c r="Y19">
        <f>AVERAGE(S19,U19,W19)</f>
        <v>4.2033333333333331</v>
      </c>
      <c r="AC19" t="s">
        <v>41</v>
      </c>
      <c r="AD19">
        <v>20</v>
      </c>
      <c r="AE19">
        <v>1.67</v>
      </c>
      <c r="AF19">
        <v>4.45</v>
      </c>
      <c r="AG19">
        <v>2.4900000000000002</v>
      </c>
      <c r="AH19">
        <v>4.29</v>
      </c>
      <c r="AI19">
        <v>2.15</v>
      </c>
      <c r="AJ19">
        <v>4.1500000000000004</v>
      </c>
      <c r="AK19">
        <f>AVERAGE(AE19,AG19,AI19)</f>
        <v>2.1033333333333335</v>
      </c>
      <c r="AL19">
        <f>AVERAGE(AF19,AH19,AJ19)</f>
        <v>4.2966666666666669</v>
      </c>
    </row>
    <row r="23" spans="1:38" x14ac:dyDescent="0.25">
      <c r="E23" t="s">
        <v>30</v>
      </c>
      <c r="G23" t="s">
        <v>40</v>
      </c>
      <c r="I23" t="s">
        <v>41</v>
      </c>
      <c r="AK23" t="s">
        <v>42</v>
      </c>
    </row>
    <row r="24" spans="1:38" x14ac:dyDescent="0.25">
      <c r="D24" t="s">
        <v>43</v>
      </c>
      <c r="E24">
        <v>9.3277780000000003</v>
      </c>
      <c r="G24" s="4">
        <v>6.4633330000000004</v>
      </c>
      <c r="I24" s="4">
        <v>4.3011109999999997</v>
      </c>
    </row>
    <row r="25" spans="1:38" x14ac:dyDescent="0.25">
      <c r="D25" t="s">
        <v>44</v>
      </c>
      <c r="E25" s="4">
        <f>E24/3600</f>
        <v>2.5910494444444446E-3</v>
      </c>
      <c r="G25" s="4">
        <f>G24/3600</f>
        <v>1.7953702777777779E-3</v>
      </c>
      <c r="I25" s="4">
        <f>I24/3600</f>
        <v>1.1947530555555554E-3</v>
      </c>
    </row>
    <row r="26" spans="1:38" x14ac:dyDescent="0.25">
      <c r="D26" t="s">
        <v>46</v>
      </c>
      <c r="E26" s="4">
        <f>20/1000*E25</f>
        <v>5.1820988888888895E-5</v>
      </c>
      <c r="G26" s="4">
        <f>20/1000*G25</f>
        <v>3.5907405555555556E-5</v>
      </c>
      <c r="I26" s="4">
        <f>20/1000*I25</f>
        <v>2.389506111111111E-5</v>
      </c>
    </row>
    <row r="27" spans="1:38" x14ac:dyDescent="0.25">
      <c r="D27" t="s">
        <v>47</v>
      </c>
      <c r="E27" s="4">
        <f>390/1000*E25</f>
        <v>1.0105092833333335E-3</v>
      </c>
      <c r="G27" s="4">
        <f>390/1000*G25</f>
        <v>7.0019440833333341E-4</v>
      </c>
      <c r="I27" s="4">
        <f>390/1000*I25</f>
        <v>4.6595369166666661E-4</v>
      </c>
    </row>
    <row r="28" spans="1:38" x14ac:dyDescent="0.25">
      <c r="D28" t="s">
        <v>48</v>
      </c>
      <c r="E28" s="4">
        <f>E27+E26</f>
        <v>1.0623302722222224E-3</v>
      </c>
      <c r="G28" s="4">
        <f>G27+G26</f>
        <v>7.3610181388888897E-4</v>
      </c>
      <c r="I28" s="4">
        <f>I27+I26</f>
        <v>4.898487527777777E-4</v>
      </c>
    </row>
    <row r="29" spans="1:38" x14ac:dyDescent="0.25">
      <c r="D29" t="s">
        <v>45</v>
      </c>
      <c r="E29" s="4">
        <f>237.589*(E26+E27)</f>
        <v>0.25239798704700561</v>
      </c>
      <c r="G29" s="4">
        <f>237.589*(G26+G27)</f>
        <v>0.17488969386004724</v>
      </c>
      <c r="I29" s="4">
        <f>237.589*(I26+I27)</f>
        <v>0.11638267532371943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46EB4-B768-4661-A934-98E8DDFB07A4}">
  <dimension ref="D5:AM35"/>
  <sheetViews>
    <sheetView tabSelected="1" topLeftCell="A7" workbookViewId="0">
      <selection activeCell="N31" sqref="N31"/>
    </sheetView>
  </sheetViews>
  <sheetFormatPr defaultRowHeight="15" x14ac:dyDescent="0.25"/>
  <cols>
    <col min="7" max="7" width="14.7109375" bestFit="1" customWidth="1"/>
    <col min="9" max="9" width="15.7109375" bestFit="1" customWidth="1"/>
    <col min="11" max="11" width="14.7109375" bestFit="1" customWidth="1"/>
  </cols>
  <sheetData>
    <row r="5" spans="4:39" x14ac:dyDescent="0.25">
      <c r="D5" t="s">
        <v>38</v>
      </c>
      <c r="Q5" t="s">
        <v>26</v>
      </c>
      <c r="AD5" t="s">
        <v>37</v>
      </c>
    </row>
    <row r="7" spans="4:39" x14ac:dyDescent="0.25">
      <c r="D7" t="s">
        <v>4</v>
      </c>
      <c r="E7" t="s">
        <v>21</v>
      </c>
      <c r="F7" t="s">
        <v>27</v>
      </c>
      <c r="G7" t="s">
        <v>32</v>
      </c>
      <c r="H7" t="s">
        <v>28</v>
      </c>
      <c r="I7" t="s">
        <v>33</v>
      </c>
      <c r="J7" t="s">
        <v>29</v>
      </c>
      <c r="K7" t="s">
        <v>34</v>
      </c>
      <c r="L7" t="s">
        <v>35</v>
      </c>
      <c r="M7" t="s">
        <v>36</v>
      </c>
      <c r="Q7" t="s">
        <v>4</v>
      </c>
      <c r="R7" t="s">
        <v>21</v>
      </c>
      <c r="S7" t="s">
        <v>27</v>
      </c>
      <c r="T7" t="s">
        <v>32</v>
      </c>
      <c r="U7" t="s">
        <v>28</v>
      </c>
      <c r="V7" t="s">
        <v>33</v>
      </c>
      <c r="W7" t="s">
        <v>29</v>
      </c>
      <c r="X7" t="s">
        <v>34</v>
      </c>
      <c r="Y7" t="s">
        <v>35</v>
      </c>
      <c r="Z7" t="s">
        <v>36</v>
      </c>
      <c r="AD7" t="s">
        <v>4</v>
      </c>
      <c r="AE7" t="s">
        <v>21</v>
      </c>
      <c r="AF7" t="s">
        <v>27</v>
      </c>
      <c r="AG7" t="s">
        <v>32</v>
      </c>
      <c r="AH7" t="s">
        <v>28</v>
      </c>
      <c r="AI7" t="s">
        <v>33</v>
      </c>
      <c r="AJ7" t="s">
        <v>29</v>
      </c>
      <c r="AK7" t="s">
        <v>34</v>
      </c>
      <c r="AL7" t="s">
        <v>35</v>
      </c>
      <c r="AM7" t="s">
        <v>36</v>
      </c>
    </row>
    <row r="8" spans="4:39" x14ac:dyDescent="0.25">
      <c r="D8" t="s">
        <v>30</v>
      </c>
      <c r="E8">
        <v>20</v>
      </c>
      <c r="L8" t="e">
        <f t="shared" ref="L8:M14" si="0">AVERAGE(F8,H8,J8)</f>
        <v>#DIV/0!</v>
      </c>
      <c r="M8" t="e">
        <f t="shared" si="0"/>
        <v>#DIV/0!</v>
      </c>
      <c r="Q8" t="s">
        <v>30</v>
      </c>
      <c r="R8">
        <v>20</v>
      </c>
      <c r="Y8" t="e">
        <f t="shared" ref="Y8:Y14" si="1">AVERAGE(S8,U8,W8)</f>
        <v>#DIV/0!</v>
      </c>
      <c r="Z8" t="e">
        <f t="shared" ref="Z8:Z14" si="2">AVERAGE(T8,V8,X8)</f>
        <v>#DIV/0!</v>
      </c>
      <c r="AD8" t="s">
        <v>30</v>
      </c>
      <c r="AE8">
        <v>20</v>
      </c>
      <c r="AL8" t="e">
        <f t="shared" ref="AL8:AL14" si="3">AVERAGE(AF8,AH8,AJ8)</f>
        <v>#DIV/0!</v>
      </c>
      <c r="AM8" t="e">
        <f t="shared" ref="AM8:AM14" si="4">AVERAGE(AG8,AI8,AK8)</f>
        <v>#DIV/0!</v>
      </c>
    </row>
    <row r="9" spans="4:39" x14ac:dyDescent="0.25">
      <c r="D9" t="s">
        <v>31</v>
      </c>
      <c r="E9">
        <v>30</v>
      </c>
      <c r="L9" t="e">
        <f t="shared" si="0"/>
        <v>#DIV/0!</v>
      </c>
      <c r="M9" t="e">
        <f t="shared" si="0"/>
        <v>#DIV/0!</v>
      </c>
      <c r="Q9" t="s">
        <v>31</v>
      </c>
      <c r="R9">
        <v>30</v>
      </c>
      <c r="Y9" t="e">
        <f t="shared" si="1"/>
        <v>#DIV/0!</v>
      </c>
      <c r="Z9" t="e">
        <f t="shared" si="2"/>
        <v>#DIV/0!</v>
      </c>
      <c r="AD9" t="s">
        <v>31</v>
      </c>
      <c r="AE9">
        <v>30</v>
      </c>
      <c r="AL9" t="e">
        <f t="shared" si="3"/>
        <v>#DIV/0!</v>
      </c>
      <c r="AM9" t="e">
        <f t="shared" si="4"/>
        <v>#DIV/0!</v>
      </c>
    </row>
    <row r="10" spans="4:39" x14ac:dyDescent="0.25">
      <c r="D10" t="s">
        <v>30</v>
      </c>
      <c r="E10">
        <v>40</v>
      </c>
      <c r="L10" t="e">
        <f t="shared" si="0"/>
        <v>#DIV/0!</v>
      </c>
      <c r="M10" t="e">
        <f t="shared" si="0"/>
        <v>#DIV/0!</v>
      </c>
      <c r="Q10" t="s">
        <v>30</v>
      </c>
      <c r="R10">
        <v>40</v>
      </c>
      <c r="Y10" t="e">
        <f t="shared" si="1"/>
        <v>#DIV/0!</v>
      </c>
      <c r="Z10" t="e">
        <f t="shared" si="2"/>
        <v>#DIV/0!</v>
      </c>
      <c r="AD10" t="s">
        <v>30</v>
      </c>
      <c r="AE10">
        <v>40</v>
      </c>
      <c r="AL10" t="e">
        <f t="shared" si="3"/>
        <v>#DIV/0!</v>
      </c>
      <c r="AM10" t="e">
        <f t="shared" si="4"/>
        <v>#DIV/0!</v>
      </c>
    </row>
    <row r="11" spans="4:39" x14ac:dyDescent="0.25">
      <c r="D11" t="s">
        <v>30</v>
      </c>
      <c r="E11">
        <v>50</v>
      </c>
      <c r="L11" t="e">
        <f t="shared" si="0"/>
        <v>#DIV/0!</v>
      </c>
      <c r="M11" t="e">
        <f t="shared" si="0"/>
        <v>#DIV/0!</v>
      </c>
      <c r="Q11" t="s">
        <v>30</v>
      </c>
      <c r="R11">
        <v>50</v>
      </c>
      <c r="Y11" t="e">
        <f t="shared" si="1"/>
        <v>#DIV/0!</v>
      </c>
      <c r="Z11" t="e">
        <f t="shared" si="2"/>
        <v>#DIV/0!</v>
      </c>
      <c r="AD11" t="s">
        <v>30</v>
      </c>
      <c r="AE11">
        <v>50</v>
      </c>
      <c r="AL11" t="e">
        <f t="shared" si="3"/>
        <v>#DIV/0!</v>
      </c>
      <c r="AM11" t="e">
        <f t="shared" si="4"/>
        <v>#DIV/0!</v>
      </c>
    </row>
    <row r="12" spans="4:39" x14ac:dyDescent="0.25">
      <c r="D12" t="s">
        <v>30</v>
      </c>
      <c r="E12">
        <v>60</v>
      </c>
      <c r="F12">
        <v>12.7</v>
      </c>
      <c r="G12">
        <v>9.0299999999999994</v>
      </c>
      <c r="H12">
        <v>12.5</v>
      </c>
      <c r="I12">
        <v>9.41</v>
      </c>
      <c r="J12">
        <v>12.1</v>
      </c>
      <c r="K12">
        <v>8.7200000000000006</v>
      </c>
      <c r="L12">
        <f t="shared" si="0"/>
        <v>12.433333333333332</v>
      </c>
      <c r="M12">
        <f t="shared" si="0"/>
        <v>9.0533333333333328</v>
      </c>
      <c r="Q12" t="s">
        <v>30</v>
      </c>
      <c r="R12">
        <v>60</v>
      </c>
      <c r="Y12" t="e">
        <f t="shared" si="1"/>
        <v>#DIV/0!</v>
      </c>
      <c r="Z12" t="e">
        <f t="shared" si="2"/>
        <v>#DIV/0!</v>
      </c>
      <c r="AD12" t="s">
        <v>30</v>
      </c>
      <c r="AE12">
        <v>60</v>
      </c>
      <c r="AL12" t="e">
        <f t="shared" si="3"/>
        <v>#DIV/0!</v>
      </c>
      <c r="AM12" t="e">
        <f t="shared" si="4"/>
        <v>#DIV/0!</v>
      </c>
    </row>
    <row r="13" spans="4:39" x14ac:dyDescent="0.25">
      <c r="D13" t="s">
        <v>30</v>
      </c>
      <c r="E13">
        <v>70</v>
      </c>
      <c r="F13">
        <v>14.4</v>
      </c>
      <c r="G13">
        <v>12.2</v>
      </c>
      <c r="H13">
        <v>15.7</v>
      </c>
      <c r="I13">
        <v>12</v>
      </c>
      <c r="J13">
        <v>15.4</v>
      </c>
      <c r="K13">
        <v>12.1</v>
      </c>
      <c r="L13">
        <f t="shared" si="0"/>
        <v>15.166666666666666</v>
      </c>
      <c r="M13">
        <f t="shared" si="0"/>
        <v>12.1</v>
      </c>
      <c r="Q13" t="s">
        <v>30</v>
      </c>
      <c r="R13">
        <v>70</v>
      </c>
      <c r="S13">
        <v>18.8</v>
      </c>
      <c r="T13">
        <v>13.3</v>
      </c>
      <c r="U13">
        <v>18</v>
      </c>
      <c r="V13">
        <v>12.6</v>
      </c>
      <c r="W13">
        <v>15.6</v>
      </c>
      <c r="X13">
        <v>13.2</v>
      </c>
      <c r="Y13">
        <f t="shared" si="1"/>
        <v>17.466666666666665</v>
      </c>
      <c r="Z13">
        <f t="shared" si="2"/>
        <v>13.033333333333331</v>
      </c>
      <c r="AD13" t="s">
        <v>30</v>
      </c>
      <c r="AE13">
        <v>70</v>
      </c>
      <c r="AF13">
        <v>23.6</v>
      </c>
      <c r="AG13">
        <v>13.3</v>
      </c>
      <c r="AH13">
        <v>20.7</v>
      </c>
      <c r="AI13">
        <v>12.6</v>
      </c>
      <c r="AJ13">
        <v>18.100000000000001</v>
      </c>
      <c r="AK13">
        <v>12.6</v>
      </c>
      <c r="AL13">
        <f t="shared" si="3"/>
        <v>20.8</v>
      </c>
      <c r="AM13">
        <f t="shared" si="4"/>
        <v>12.833333333333334</v>
      </c>
    </row>
    <row r="14" spans="4:39" x14ac:dyDescent="0.25">
      <c r="D14" t="s">
        <v>30</v>
      </c>
      <c r="E14">
        <v>80</v>
      </c>
      <c r="F14">
        <v>7.9</v>
      </c>
      <c r="G14">
        <v>15.6</v>
      </c>
      <c r="H14">
        <v>7.84</v>
      </c>
      <c r="I14">
        <v>16.2</v>
      </c>
      <c r="J14">
        <v>7.66</v>
      </c>
      <c r="K14">
        <v>15.6</v>
      </c>
      <c r="L14">
        <f t="shared" si="0"/>
        <v>7.8</v>
      </c>
      <c r="M14">
        <f t="shared" si="0"/>
        <v>15.799999999999999</v>
      </c>
      <c r="Q14" t="s">
        <v>30</v>
      </c>
      <c r="R14">
        <v>80</v>
      </c>
      <c r="S14">
        <v>7.85</v>
      </c>
      <c r="T14">
        <v>17.7</v>
      </c>
      <c r="U14">
        <v>8.1199999999999992</v>
      </c>
      <c r="V14">
        <v>20.3</v>
      </c>
      <c r="W14">
        <v>7.23</v>
      </c>
      <c r="X14">
        <v>17.8</v>
      </c>
      <c r="Y14">
        <f t="shared" si="1"/>
        <v>7.7333333333333334</v>
      </c>
      <c r="Z14">
        <f t="shared" si="2"/>
        <v>18.599999999999998</v>
      </c>
      <c r="AD14" t="s">
        <v>30</v>
      </c>
      <c r="AE14">
        <v>80</v>
      </c>
      <c r="AF14">
        <v>8.17</v>
      </c>
      <c r="AG14">
        <v>16.7</v>
      </c>
      <c r="AH14">
        <v>9.1300000000000008</v>
      </c>
      <c r="AI14">
        <v>17</v>
      </c>
      <c r="AJ14">
        <v>8.75</v>
      </c>
      <c r="AK14">
        <v>19.600000000000001</v>
      </c>
      <c r="AL14">
        <f t="shared" si="3"/>
        <v>8.6833333333333336</v>
      </c>
      <c r="AM14">
        <f t="shared" si="4"/>
        <v>17.766666666666669</v>
      </c>
    </row>
    <row r="17" spans="4:39" x14ac:dyDescent="0.25">
      <c r="D17" t="s">
        <v>40</v>
      </c>
      <c r="E17">
        <v>20</v>
      </c>
      <c r="L17" t="e">
        <f t="shared" ref="L17:M20" si="5">AVERAGE(F17,H17,J17)</f>
        <v>#DIV/0!</v>
      </c>
      <c r="M17" t="e">
        <f t="shared" si="5"/>
        <v>#DIV/0!</v>
      </c>
      <c r="Q17" t="s">
        <v>40</v>
      </c>
      <c r="R17">
        <v>20</v>
      </c>
      <c r="Y17" t="e">
        <f t="shared" ref="Y17:Y20" si="6">AVERAGE(S17,U17,W17)</f>
        <v>#DIV/0!</v>
      </c>
      <c r="Z17" t="e">
        <f t="shared" ref="Z17:Z20" si="7">AVERAGE(T17,V17,X17)</f>
        <v>#DIV/0!</v>
      </c>
      <c r="AD17" t="s">
        <v>40</v>
      </c>
      <c r="AE17">
        <v>20</v>
      </c>
      <c r="AL17" t="e">
        <f t="shared" ref="AL17:AL20" si="8">AVERAGE(AF17,AH17,AJ17)</f>
        <v>#DIV/0!</v>
      </c>
      <c r="AM17" t="e">
        <f t="shared" ref="AM17:AM20" si="9">AVERAGE(AG17,AI17,AK17)</f>
        <v>#DIV/0!</v>
      </c>
    </row>
    <row r="18" spans="4:39" x14ac:dyDescent="0.25">
      <c r="D18" t="s">
        <v>40</v>
      </c>
      <c r="E18">
        <v>30</v>
      </c>
      <c r="L18" t="e">
        <f t="shared" si="5"/>
        <v>#DIV/0!</v>
      </c>
      <c r="M18" t="e">
        <f t="shared" si="5"/>
        <v>#DIV/0!</v>
      </c>
      <c r="Q18" t="s">
        <v>40</v>
      </c>
      <c r="R18">
        <v>30</v>
      </c>
      <c r="Y18" t="e">
        <f t="shared" si="6"/>
        <v>#DIV/0!</v>
      </c>
      <c r="Z18" t="e">
        <f t="shared" si="7"/>
        <v>#DIV/0!</v>
      </c>
      <c r="AD18" t="s">
        <v>40</v>
      </c>
      <c r="AE18">
        <v>30</v>
      </c>
      <c r="AL18" t="e">
        <f t="shared" si="8"/>
        <v>#DIV/0!</v>
      </c>
      <c r="AM18" t="e">
        <f t="shared" si="9"/>
        <v>#DIV/0!</v>
      </c>
    </row>
    <row r="19" spans="4:39" x14ac:dyDescent="0.25">
      <c r="D19" t="s">
        <v>40</v>
      </c>
      <c r="E19">
        <v>40</v>
      </c>
      <c r="F19">
        <v>11.4</v>
      </c>
      <c r="G19">
        <v>9.2100000000000009</v>
      </c>
      <c r="H19">
        <v>16.8</v>
      </c>
      <c r="I19">
        <v>8.35</v>
      </c>
      <c r="J19">
        <v>16.2</v>
      </c>
      <c r="K19">
        <v>8.57</v>
      </c>
      <c r="L19">
        <f t="shared" si="5"/>
        <v>14.800000000000002</v>
      </c>
      <c r="M19">
        <f t="shared" si="5"/>
        <v>8.7100000000000009</v>
      </c>
      <c r="Q19" t="s">
        <v>40</v>
      </c>
      <c r="R19">
        <v>40</v>
      </c>
      <c r="S19">
        <v>14.1</v>
      </c>
      <c r="T19">
        <v>9.1300000000000008</v>
      </c>
      <c r="U19">
        <v>13.6</v>
      </c>
      <c r="V19">
        <v>8.48</v>
      </c>
      <c r="W19">
        <v>12.8</v>
      </c>
      <c r="X19">
        <v>8.89</v>
      </c>
      <c r="Y19">
        <f t="shared" si="6"/>
        <v>13.5</v>
      </c>
      <c r="Z19">
        <f t="shared" si="7"/>
        <v>8.8333333333333339</v>
      </c>
      <c r="AD19" t="s">
        <v>40</v>
      </c>
      <c r="AE19">
        <v>40</v>
      </c>
      <c r="AF19">
        <v>16.8</v>
      </c>
      <c r="AG19">
        <v>9.31</v>
      </c>
      <c r="AH19">
        <v>13</v>
      </c>
      <c r="AI19">
        <v>8.49</v>
      </c>
      <c r="AJ19">
        <v>14.4</v>
      </c>
      <c r="AK19">
        <v>8.8800000000000008</v>
      </c>
      <c r="AL19">
        <f t="shared" si="8"/>
        <v>14.733333333333334</v>
      </c>
      <c r="AM19">
        <f t="shared" si="9"/>
        <v>8.8933333333333326</v>
      </c>
    </row>
    <row r="20" spans="4:39" x14ac:dyDescent="0.25">
      <c r="D20" t="s">
        <v>40</v>
      </c>
      <c r="E20">
        <v>50</v>
      </c>
      <c r="F20">
        <v>6.29</v>
      </c>
      <c r="G20">
        <v>11.7</v>
      </c>
      <c r="H20">
        <v>1.43</v>
      </c>
      <c r="I20">
        <v>11.5</v>
      </c>
      <c r="J20">
        <v>3.18</v>
      </c>
      <c r="K20">
        <v>11.6</v>
      </c>
      <c r="L20">
        <f t="shared" si="5"/>
        <v>3.6333333333333333</v>
      </c>
      <c r="M20">
        <f t="shared" si="5"/>
        <v>11.6</v>
      </c>
      <c r="Q20" t="s">
        <v>40</v>
      </c>
      <c r="R20">
        <v>50</v>
      </c>
      <c r="S20">
        <v>7.56</v>
      </c>
      <c r="T20">
        <v>12.1</v>
      </c>
      <c r="U20">
        <v>7.92</v>
      </c>
      <c r="V20">
        <v>12.3</v>
      </c>
      <c r="W20">
        <v>2.88</v>
      </c>
      <c r="X20">
        <v>13</v>
      </c>
      <c r="Y20">
        <f t="shared" si="6"/>
        <v>6.12</v>
      </c>
      <c r="Z20">
        <f t="shared" si="7"/>
        <v>12.466666666666667</v>
      </c>
      <c r="AD20" t="s">
        <v>40</v>
      </c>
      <c r="AE20">
        <v>50</v>
      </c>
      <c r="AF20">
        <v>8.69</v>
      </c>
      <c r="AG20">
        <v>13.4</v>
      </c>
      <c r="AH20">
        <v>0.16200000000000001</v>
      </c>
      <c r="AI20">
        <v>13.1</v>
      </c>
      <c r="AJ20">
        <v>7.49</v>
      </c>
      <c r="AK20">
        <v>13.5</v>
      </c>
      <c r="AL20">
        <f t="shared" si="8"/>
        <v>5.4473333333333329</v>
      </c>
      <c r="AM20">
        <f t="shared" si="9"/>
        <v>13.333333333333334</v>
      </c>
    </row>
    <row r="23" spans="4:39" x14ac:dyDescent="0.25">
      <c r="D23" t="s">
        <v>41</v>
      </c>
      <c r="E23">
        <v>10</v>
      </c>
      <c r="F23">
        <v>83.2</v>
      </c>
      <c r="G23">
        <v>3.65</v>
      </c>
      <c r="H23">
        <v>60.1</v>
      </c>
      <c r="I23">
        <v>3.51</v>
      </c>
      <c r="J23">
        <v>81.2</v>
      </c>
      <c r="K23">
        <v>3.56</v>
      </c>
      <c r="L23">
        <f>AVERAGE(F23,H23,J23)</f>
        <v>74.833333333333329</v>
      </c>
      <c r="M23">
        <f>AVERAGE(G23,I23,K23)</f>
        <v>3.5733333333333337</v>
      </c>
      <c r="Q23" t="s">
        <v>41</v>
      </c>
      <c r="R23">
        <v>10</v>
      </c>
      <c r="S23">
        <v>42.8</v>
      </c>
      <c r="T23">
        <v>3.88</v>
      </c>
      <c r="U23">
        <v>44.6</v>
      </c>
      <c r="V23">
        <v>3.75</v>
      </c>
      <c r="W23">
        <v>47.9</v>
      </c>
      <c r="X23">
        <v>3.58</v>
      </c>
      <c r="Y23">
        <f>AVERAGE(S23,U23,W23)</f>
        <v>45.1</v>
      </c>
      <c r="Z23">
        <f>AVERAGE(T23,V23,X23)</f>
        <v>3.7366666666666668</v>
      </c>
      <c r="AD23" t="s">
        <v>41</v>
      </c>
      <c r="AE23">
        <v>10</v>
      </c>
      <c r="AF23">
        <v>40.6</v>
      </c>
      <c r="AG23">
        <v>3.92</v>
      </c>
      <c r="AH23">
        <v>34.299999999999997</v>
      </c>
      <c r="AI23">
        <v>3.92</v>
      </c>
      <c r="AJ23">
        <v>55.4</v>
      </c>
      <c r="AK23">
        <v>3.52</v>
      </c>
      <c r="AL23">
        <f>AVERAGE(AF23,AH23,AJ23)</f>
        <v>43.433333333333337</v>
      </c>
      <c r="AM23">
        <f>AVERAGE(AG23,AI23,AK23)</f>
        <v>3.7866666666666666</v>
      </c>
    </row>
    <row r="24" spans="4:39" x14ac:dyDescent="0.25">
      <c r="D24" t="s">
        <v>41</v>
      </c>
      <c r="E24">
        <v>20</v>
      </c>
      <c r="F24">
        <v>3.56</v>
      </c>
      <c r="G24">
        <v>4.8</v>
      </c>
      <c r="H24">
        <v>2.97</v>
      </c>
      <c r="I24">
        <v>4.42</v>
      </c>
      <c r="J24">
        <v>3.87</v>
      </c>
      <c r="K24">
        <v>4.4000000000000004</v>
      </c>
      <c r="L24">
        <f>AVERAGE(F24,H24,J24)</f>
        <v>3.4666666666666668</v>
      </c>
      <c r="M24">
        <f>AVERAGE(G24,I24,K24)</f>
        <v>4.54</v>
      </c>
      <c r="Q24" t="s">
        <v>41</v>
      </c>
      <c r="R24">
        <v>20</v>
      </c>
      <c r="S24">
        <v>5.48</v>
      </c>
      <c r="T24">
        <v>4.78</v>
      </c>
      <c r="U24">
        <v>3.8</v>
      </c>
      <c r="V24">
        <v>4.6399999999999997</v>
      </c>
      <c r="W24">
        <v>4.0599999999999996</v>
      </c>
      <c r="X24">
        <v>4.78</v>
      </c>
      <c r="Y24">
        <f>AVERAGE(S24,U24,W24)</f>
        <v>4.4466666666666663</v>
      </c>
      <c r="Z24">
        <f>AVERAGE(T24,V24,X24)</f>
        <v>4.7333333333333334</v>
      </c>
      <c r="AD24" t="s">
        <v>41</v>
      </c>
      <c r="AE24">
        <v>20</v>
      </c>
      <c r="AF24">
        <v>3.11</v>
      </c>
      <c r="AG24">
        <v>4.7699999999999996</v>
      </c>
      <c r="AH24">
        <v>2.87</v>
      </c>
      <c r="AI24">
        <v>4.43</v>
      </c>
      <c r="AJ24">
        <v>5.94</v>
      </c>
      <c r="AK24">
        <v>4.97</v>
      </c>
      <c r="AL24">
        <f>AVERAGE(AF24,AH24,AJ24)</f>
        <v>3.973333333333334</v>
      </c>
      <c r="AM24">
        <f>AVERAGE(AG24,AI24,AK24)</f>
        <v>4.7233333333333327</v>
      </c>
    </row>
    <row r="29" spans="4:39" x14ac:dyDescent="0.25">
      <c r="G29" t="s">
        <v>30</v>
      </c>
      <c r="I29" t="s">
        <v>40</v>
      </c>
      <c r="K29" t="s">
        <v>41</v>
      </c>
    </row>
    <row r="30" spans="4:39" x14ac:dyDescent="0.25">
      <c r="F30" t="s">
        <v>43</v>
      </c>
      <c r="G30">
        <f>AVERAGE(M14,Z14,AM14)</f>
        <v>17.388888888888889</v>
      </c>
      <c r="I30" s="4">
        <f>AVERAGE(M20,Z20,AM20)</f>
        <v>12.466666666666667</v>
      </c>
      <c r="K30" s="4">
        <f>AVERAGE(M24,Z24,AM24)</f>
        <v>4.6655555555555557</v>
      </c>
    </row>
    <row r="31" spans="4:39" x14ac:dyDescent="0.25">
      <c r="F31" t="s">
        <v>44</v>
      </c>
      <c r="G31" s="4">
        <f>G30/3600</f>
        <v>4.8302469135802469E-3</v>
      </c>
      <c r="I31" s="4">
        <f>I30/3600</f>
        <v>3.4629629629629628E-3</v>
      </c>
      <c r="K31" s="4">
        <f>K30/3600</f>
        <v>1.2959876543209878E-3</v>
      </c>
    </row>
    <row r="32" spans="4:39" x14ac:dyDescent="0.25">
      <c r="F32" t="s">
        <v>46</v>
      </c>
      <c r="G32" s="4">
        <f>20/1000*G31</f>
        <v>9.6604938271604941E-5</v>
      </c>
      <c r="I32" s="4">
        <f>20/1000*I31</f>
        <v>6.9259259259259252E-5</v>
      </c>
      <c r="K32" s="4">
        <f>20/1000*K31</f>
        <v>2.5919753086419756E-5</v>
      </c>
    </row>
    <row r="33" spans="6:11" x14ac:dyDescent="0.25">
      <c r="F33" t="s">
        <v>47</v>
      </c>
      <c r="G33" s="4">
        <f>390/1000*G31</f>
        <v>1.8837962962962964E-3</v>
      </c>
      <c r="I33" s="4">
        <f>390/1000*I31</f>
        <v>1.3505555555555556E-3</v>
      </c>
      <c r="K33" s="4">
        <f>390/1000*K31</f>
        <v>5.0543518518518526E-4</v>
      </c>
    </row>
    <row r="34" spans="6:11" x14ac:dyDescent="0.25">
      <c r="F34" t="s">
        <v>48</v>
      </c>
      <c r="G34" s="4">
        <f>G33+G32</f>
        <v>1.9804012345679013E-3</v>
      </c>
      <c r="I34" s="4">
        <f>I33+I32</f>
        <v>1.4198148148148147E-3</v>
      </c>
      <c r="K34" s="4">
        <f>K33+K32</f>
        <v>5.3135493827160499E-4</v>
      </c>
    </row>
    <row r="35" spans="6:11" x14ac:dyDescent="0.25">
      <c r="F35" t="s">
        <v>45</v>
      </c>
      <c r="G35" s="4">
        <f>237.589*(G32+G33)</f>
        <v>0.47052154891975306</v>
      </c>
      <c r="I35" s="4">
        <f>237.589*(I32+I33)</f>
        <v>0.33733238203703703</v>
      </c>
      <c r="K35" s="4">
        <f>237.589*(K32+K33)</f>
        <v>0.12624408842901236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First attempt</vt:lpstr>
      <vt:lpstr>DO NOT USE - Seed 21</vt:lpstr>
      <vt:lpstr>Grid Tests</vt:lpstr>
      <vt:lpstr>Strip Tests</vt:lpstr>
      <vt:lpstr>Strip Tests January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2026-01-21T11:36:16Z</dcterms:modified>
</cp:coreProperties>
</file>